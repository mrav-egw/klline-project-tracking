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7"/>
  <workbookPr/>
  <mc:AlternateContent xmlns:mc="http://schemas.openxmlformats.org/markup-compatibility/2006">
    <mc:Choice Requires="x15">
      <x15ac:absPath xmlns:x15ac="http://schemas.microsoft.com/office/spreadsheetml/2010/11/ac" url="\\egw-telekom.at\user\redirection\Thomas.Ertl\Downloads\"/>
    </mc:Choice>
  </mc:AlternateContent>
  <xr:revisionPtr revIDLastSave="0" documentId="8_{979DD9D1-41D2-4A31-A9AC-D603D635DA42}" xr6:coauthVersionLast="47" xr6:coauthVersionMax="47" xr10:uidLastSave="{00000000-0000-0000-0000-000000000000}"/>
  <bookViews>
    <workbookView xWindow="16500" yWindow="710" windowWidth="23760" windowHeight="12400" tabRatio="500" activeTab="3" xr2:uid="{00000000-000D-0000-FFFF-FFFF00000000}"/>
  </bookViews>
  <sheets>
    <sheet name="Projektdetails" sheetId="4" r:id="rId1"/>
    <sheet name="Vertriebsbericht" sheetId="1" r:id="rId2"/>
    <sheet name="Lieferanten" sheetId="7" r:id="rId3"/>
    <sheet name="Monteure_Lager" sheetId="6" r:id="rId4"/>
  </sheets>
  <externalReferences>
    <externalReference r:id="rId5"/>
  </externalReferences>
  <definedNames>
    <definedName name="_xlnm.Print_Area" localSheetId="1">Vertriebsbericht!$A$2:$G$179</definedName>
    <definedName name="QUARTER">Vertriebsbericht!$B$4:$G$173</definedName>
    <definedName name="Type">'[1]Maintenance Work Order'!#REF!</definedName>
  </definedNames>
  <calcPr calcId="191028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07" i="4" l="1"/>
  <c r="E175" i="1"/>
  <c r="E407" i="4"/>
  <c r="E179" i="1"/>
  <c r="E180" i="1"/>
  <c r="G407" i="4"/>
  <c r="F184" i="1"/>
  <c r="F407" i="4"/>
  <c r="F183" i="1"/>
  <c r="F175" i="1"/>
  <c r="O378" i="4"/>
  <c r="O233" i="4"/>
  <c r="O356" i="4"/>
  <c r="O346" i="4"/>
  <c r="O338" i="4"/>
  <c r="O331" i="4"/>
  <c r="O321" i="4"/>
  <c r="O314" i="4"/>
  <c r="O307" i="4"/>
  <c r="O294" i="4"/>
  <c r="O363" i="4"/>
  <c r="O370" i="4"/>
  <c r="O256" i="4"/>
  <c r="O177" i="4"/>
  <c r="O199" i="4"/>
  <c r="O287" i="4"/>
  <c r="O277" i="4"/>
  <c r="O270" i="4"/>
  <c r="O263" i="4"/>
  <c r="O247" i="4"/>
  <c r="O240" i="4"/>
  <c r="O216" i="4"/>
  <c r="O209" i="4"/>
  <c r="O161" i="4"/>
  <c r="O189" i="4"/>
  <c r="O60" i="4"/>
  <c r="O418" i="4"/>
  <c r="H408" i="4"/>
  <c r="G175" i="1"/>
  <c r="O112" i="4"/>
  <c r="O122" i="4"/>
  <c r="O9" i="4"/>
  <c r="O16" i="4"/>
  <c r="O23" i="4"/>
  <c r="O31" i="4"/>
  <c r="O38" i="4"/>
  <c r="O47" i="4"/>
  <c r="O68" i="4"/>
  <c r="O77" i="4"/>
  <c r="O86" i="4"/>
  <c r="O93" i="4"/>
  <c r="O104" i="4"/>
  <c r="O129" i="4"/>
  <c r="O137" i="4"/>
  <c r="O151" i="4"/>
  <c r="O169" i="4"/>
  <c r="O408" i="4"/>
  <c r="F408" i="4"/>
  <c r="M407" i="4"/>
  <c r="N408" i="4"/>
  <c r="L408" i="4"/>
  <c r="F179" i="1"/>
  <c r="F180" i="1"/>
  <c r="D11" i="1"/>
  <c r="D4" i="1"/>
  <c r="F18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tc={07EFAAF6-902E-4E73-A440-2B281DC985E7}</author>
    <author>tc={5A0FA022-7936-400D-875C-CDCA899C5E7B}</author>
    <author>tc={7A8A5358-2CCE-44FB-B4E3-9B2B3308B521}</author>
    <author>tc={8FC01694-B6F2-4743-B40C-66093874C6FA}</author>
  </authors>
  <commentList>
    <comment ref="E275" authorId="0" shapeId="0" xr:uid="{07EFAAF6-902E-4E73-A440-2B281DC985E7}">
      <text>
        <t>[Threaded comment]
Your version of Excel allows you to read this threaded comment; however, any edits to it will get removed if the file is opened in a newer version of Excel. Learn more: https://go.microsoft.com/fwlink/?linkid=870924
Comment:
    30 Tage nach Lieferung</t>
      </text>
    </comment>
    <comment ref="F275" authorId="1" shapeId="0" xr:uid="{5A0FA022-7936-400D-875C-CDCA899C5E7B}">
      <text>
        <t>[Threaded comment]
Your version of Excel allows you to read this threaded comment; however, any edits to it will get removed if the file is opened in a newer version of Excel. Learn more: https://go.microsoft.com/fwlink/?linkid=870924
Comment:
    30 Tage nach Lieferung</t>
      </text>
    </comment>
    <comment ref="E319" authorId="2" shapeId="0" xr:uid="{7A8A5358-2CCE-44FB-B4E3-9B2B3308B521}">
      <text>
        <t>[Threaded comment]
Your version of Excel allows you to read this threaded comment; however, any edits to it will get removed if the file is opened in a newer version of Excel. Learn more: https://go.microsoft.com/fwlink/?linkid=870924
Comment:
    30 Tage nach Lieferung</t>
      </text>
    </comment>
    <comment ref="F319" authorId="3" shapeId="0" xr:uid="{8FC01694-B6F2-4743-B40C-66093874C6FA}">
      <text>
        <t>[Threaded comment]
Your version of Excel allows you to read this threaded comment; however, any edits to it will get removed if the file is opened in a newer version of Excel. Learn more: https://go.microsoft.com/fwlink/?linkid=870924
Comment:
    30 Tage nach Lieferung</t>
      </text>
    </comment>
  </commentList>
</comments>
</file>

<file path=xl/sharedStrings.xml><?xml version="1.0" encoding="utf-8"?>
<sst xmlns="http://schemas.openxmlformats.org/spreadsheetml/2006/main" count="1772" uniqueCount="569">
  <si>
    <t>MA69 Stadt Wien</t>
  </si>
  <si>
    <t>Kunde / Unternehmen</t>
  </si>
  <si>
    <t>Klline Rechnungsdatum</t>
  </si>
  <si>
    <t>Klline Rechnungsnr.</t>
  </si>
  <si>
    <t>Klline Verkaufssumme</t>
  </si>
  <si>
    <t xml:space="preserve"> noch zu fakturieren</t>
  </si>
  <si>
    <t>Klline Bestelldatum</t>
  </si>
  <si>
    <t>Unsere Bestellsumme</t>
  </si>
  <si>
    <t>Produzent Rechnungsnr.</t>
  </si>
  <si>
    <t>Produzent Rechnungsumme</t>
  </si>
  <si>
    <t>Klline bezahlt</t>
  </si>
  <si>
    <t>Bezahlt am</t>
  </si>
  <si>
    <t>DB Beitrag</t>
  </si>
  <si>
    <t>Ausgeliefert</t>
  </si>
  <si>
    <t>Montiert</t>
  </si>
  <si>
    <t>24-00040</t>
  </si>
  <si>
    <t>Narbutas</t>
  </si>
  <si>
    <t xml:space="preserve">Ja </t>
  </si>
  <si>
    <t>Bestellt - Lieferung KW6</t>
  </si>
  <si>
    <t>Maul</t>
  </si>
  <si>
    <t>VK400927</t>
  </si>
  <si>
    <t xml:space="preserve">Bestellt </t>
  </si>
  <si>
    <t>Filzfabrik</t>
  </si>
  <si>
    <t>Bestellt - Lieferung KW3</t>
  </si>
  <si>
    <t>Flotzi</t>
  </si>
  <si>
    <t>Montage am 06.09.2025</t>
  </si>
  <si>
    <t>DB Gesamt</t>
  </si>
  <si>
    <t>Melanie Wagner e.U</t>
  </si>
  <si>
    <t>LocTek</t>
  </si>
  <si>
    <t>16-0129</t>
  </si>
  <si>
    <t>ausgeliefert</t>
  </si>
  <si>
    <t>24-00039</t>
  </si>
  <si>
    <t>ja</t>
  </si>
  <si>
    <t>16-0116</t>
  </si>
  <si>
    <t>Bestellt - Lieferung KW5</t>
  </si>
  <si>
    <t>Roboter-Anlagen-Technik GmbH</t>
  </si>
  <si>
    <t>25-00008</t>
  </si>
  <si>
    <t>Narbutas gutschrift</t>
  </si>
  <si>
    <t>loctek</t>
  </si>
  <si>
    <t>Iveco Screen</t>
  </si>
  <si>
    <t>25-00010</t>
  </si>
  <si>
    <t>Teilrechnung Robantec</t>
  </si>
  <si>
    <t>Management Factory Neu</t>
  </si>
  <si>
    <t>24-00037</t>
  </si>
  <si>
    <t>Flotz</t>
  </si>
  <si>
    <t>Comm-Unity GmbH</t>
  </si>
  <si>
    <t>Comm-Unity GmbH Teil1</t>
  </si>
  <si>
    <t>25-00006</t>
  </si>
  <si>
    <t>1 Teil gezahlt, 2 Teil in Rechnung 16.06.2025</t>
  </si>
  <si>
    <t>Comm-Unity GmbH Teil2</t>
  </si>
  <si>
    <t>25-00021</t>
  </si>
  <si>
    <t>Narbutas Versand Communita</t>
  </si>
  <si>
    <t>Rovo</t>
  </si>
  <si>
    <t>Nowy</t>
  </si>
  <si>
    <t>VF202500765</t>
  </si>
  <si>
    <t>zweite Position auf Rechnung für Stuhl VKTec</t>
  </si>
  <si>
    <t>MDD</t>
  </si>
  <si>
    <t>Führer Montage</t>
  </si>
  <si>
    <t>26-2025</t>
  </si>
  <si>
    <t>MA60 Stadt Wien</t>
  </si>
  <si>
    <t>25-000011</t>
  </si>
  <si>
    <t>Pernikl</t>
  </si>
  <si>
    <t>geliefert</t>
  </si>
  <si>
    <t>Ja</t>
  </si>
  <si>
    <t>montiert</t>
  </si>
  <si>
    <t>bestellt</t>
  </si>
  <si>
    <t>HOFA Akustikvorhang</t>
  </si>
  <si>
    <t>vorauskassa bezahlt</t>
  </si>
  <si>
    <t>bezahlt</t>
  </si>
  <si>
    <t>montiert und bezahlt</t>
  </si>
  <si>
    <t xml:space="preserve">ProMente </t>
  </si>
  <si>
    <t>Promente Klagenfurt</t>
  </si>
  <si>
    <t>06.06.2025 zweiten Teil bezahlt</t>
  </si>
  <si>
    <t>25-00015</t>
  </si>
  <si>
    <t>Bezahlt</t>
  </si>
  <si>
    <t>Alicona   3</t>
  </si>
  <si>
    <t>Kunde bezahlt</t>
  </si>
  <si>
    <t xml:space="preserve">Alicona </t>
  </si>
  <si>
    <t>Alicona</t>
  </si>
  <si>
    <t>IN005085</t>
  </si>
  <si>
    <t>NowyStyl</t>
  </si>
  <si>
    <t>VF202501150</t>
  </si>
  <si>
    <t>Alba</t>
  </si>
  <si>
    <t>FVS-2025-1-000568</t>
  </si>
  <si>
    <t>Führer</t>
  </si>
  <si>
    <t>40/2025</t>
  </si>
  <si>
    <t>Nuntio</t>
  </si>
  <si>
    <t>Rechnung nach Lieferung</t>
  </si>
  <si>
    <t xml:space="preserve"> GS 960,00</t>
  </si>
  <si>
    <t>IN005796</t>
  </si>
  <si>
    <t>Nur die Differenz zur GS 960,00 bezahlt</t>
  </si>
  <si>
    <t>Gem. Kaltenbach</t>
  </si>
  <si>
    <t>30 Tage nach Lieferung</t>
  </si>
  <si>
    <t>IN006871</t>
  </si>
  <si>
    <t>VF202501057</t>
  </si>
  <si>
    <t>RG-0543514</t>
  </si>
  <si>
    <t>Montage Tirol</t>
  </si>
  <si>
    <t>135-2025</t>
  </si>
  <si>
    <t>nanoware</t>
  </si>
  <si>
    <t>Abverkaufstuhl</t>
  </si>
  <si>
    <t>Steelcase</t>
  </si>
  <si>
    <t>ICMPD</t>
  </si>
  <si>
    <t>25-00020</t>
  </si>
  <si>
    <t>bezahlt 20.06.2025</t>
  </si>
  <si>
    <t>bezahlt Vorauskassa</t>
  </si>
  <si>
    <t xml:space="preserve">ja </t>
  </si>
  <si>
    <t>Wird nach Montage der Falschbestellung des Kunden verrechnet.</t>
  </si>
  <si>
    <t>Alicona 4 Teil</t>
  </si>
  <si>
    <t>Alicona 4 Teil 1</t>
  </si>
  <si>
    <t>Alicona 4 Teil 2</t>
  </si>
  <si>
    <t>Alicona Nachverrechnung</t>
  </si>
  <si>
    <t>+65 Euro wegen Wartezeit</t>
  </si>
  <si>
    <t>IN008452</t>
  </si>
  <si>
    <t>Alicona Nachtrag</t>
  </si>
  <si>
    <t>IN007615</t>
  </si>
  <si>
    <t>Bestellt 20.06.2025</t>
  </si>
  <si>
    <t>FVS-2024-1-005281</t>
  </si>
  <si>
    <t>FVS-2025-1-000644</t>
  </si>
  <si>
    <t>50 Euro mehr wegen Wartezeit</t>
  </si>
  <si>
    <t>Fahr Ladner</t>
  </si>
  <si>
    <t>Fahrschule Ladner</t>
  </si>
  <si>
    <t>IN010209</t>
  </si>
  <si>
    <t>VF202501445</t>
  </si>
  <si>
    <t>FVS-2025-0896</t>
  </si>
  <si>
    <t>ICMPD Falsch</t>
  </si>
  <si>
    <t>ICMPD Falschbestellung</t>
  </si>
  <si>
    <t>Hiab Austria GmbH</t>
  </si>
  <si>
    <t>Alicona 2</t>
  </si>
  <si>
    <t>Alicona Neu Teil1 50%</t>
  </si>
  <si>
    <t>24-00034</t>
  </si>
  <si>
    <t>Rechnung 50/50</t>
  </si>
  <si>
    <t>Alicona Neu Teil2 50%</t>
  </si>
  <si>
    <t>Alicona Gutschrift</t>
  </si>
  <si>
    <t>GU25-0001</t>
  </si>
  <si>
    <t>office Völkle Retour kosten</t>
  </si>
  <si>
    <t>Zahlungserinnerung am 07.07.2025 versendet</t>
  </si>
  <si>
    <t>Geliefert 12.02.</t>
  </si>
  <si>
    <t>AlbaSeating</t>
  </si>
  <si>
    <t>Montage 18+19.02.2025</t>
  </si>
  <si>
    <t xml:space="preserve">Macro Array </t>
  </si>
  <si>
    <t>IN016177</t>
  </si>
  <si>
    <t>Nowy Styl</t>
  </si>
  <si>
    <t>VF202501373</t>
  </si>
  <si>
    <t>Iveco 2025</t>
  </si>
  <si>
    <t>Iveco 1. Angebot</t>
  </si>
  <si>
    <t>Iveco 2. Angebot</t>
  </si>
  <si>
    <t>Loctek</t>
  </si>
  <si>
    <t>25EBAT16-0716</t>
  </si>
  <si>
    <t>Katharina Riegler</t>
  </si>
  <si>
    <t>Vorauskassa</t>
  </si>
  <si>
    <t>PPUH ANIMAR Marian Szczęsny</t>
  </si>
  <si>
    <t>FPF 00286/07/2025</t>
  </si>
  <si>
    <t>Labor Vidotto</t>
  </si>
  <si>
    <t>Fixtermin 01.04.2026 Direktanlieferung</t>
  </si>
  <si>
    <t>FVS-2025-1-004144</t>
  </si>
  <si>
    <t>Lieferung am 13.03.2026 zum Flotz</t>
  </si>
  <si>
    <t>Bungarten</t>
  </si>
  <si>
    <t>RE12601450</t>
  </si>
  <si>
    <t>Lieferung Flotz</t>
  </si>
  <si>
    <t>RG-0582094</t>
  </si>
  <si>
    <t>Maro</t>
  </si>
  <si>
    <t xml:space="preserve"> ZS2600882</t>
  </si>
  <si>
    <t>Desktronic</t>
  </si>
  <si>
    <t>im Lager</t>
  </si>
  <si>
    <t>Lieferung Goldberg</t>
  </si>
  <si>
    <t>Küchen Gabriel</t>
  </si>
  <si>
    <t>Abholung, Lieferung und Montage Flotzi</t>
  </si>
  <si>
    <t>Betzold</t>
  </si>
  <si>
    <t>MoosMoos</t>
  </si>
  <si>
    <t>wird nur geliefert.</t>
  </si>
  <si>
    <t>Ecoplus Niederösterreich</t>
  </si>
  <si>
    <t>ZS2505193</t>
  </si>
  <si>
    <t>Elisabeth Schillinger</t>
  </si>
  <si>
    <t>Animar Matratzen</t>
  </si>
  <si>
    <t>00338/08/2025</t>
  </si>
  <si>
    <t>Community 1Px</t>
  </si>
  <si>
    <t>IN020696</t>
  </si>
  <si>
    <t>Daniel Führer</t>
  </si>
  <si>
    <t>64/2025</t>
  </si>
  <si>
    <t>Blindenwohlfahrt</t>
  </si>
  <si>
    <t>IN018906</t>
  </si>
  <si>
    <t>Emil Hasecic (Nuntio)</t>
  </si>
  <si>
    <t>IN018779</t>
  </si>
  <si>
    <t>Stadt Wien 41</t>
  </si>
  <si>
    <t>Stadt Wien Kanal</t>
  </si>
  <si>
    <t>IN018779+IN021561</t>
  </si>
  <si>
    <t>Gem. Kaltenbach 2</t>
  </si>
  <si>
    <t>IN020820</t>
  </si>
  <si>
    <t>Wird direkt zum Kunden geliefert</t>
  </si>
  <si>
    <t xml:space="preserve">Alba </t>
  </si>
  <si>
    <t>FVS-2025-1-001805</t>
  </si>
  <si>
    <t>RG-056015</t>
  </si>
  <si>
    <t>David TIschler</t>
  </si>
  <si>
    <t>148-2025</t>
  </si>
  <si>
    <t xml:space="preserve">Labor MM </t>
  </si>
  <si>
    <t>RW Serviceteam Labor</t>
  </si>
  <si>
    <t>Tippprovision Labor MM Group</t>
  </si>
  <si>
    <t>KW4/26 verrechnen</t>
  </si>
  <si>
    <t>CleverFit</t>
  </si>
  <si>
    <t>Cleverfit</t>
  </si>
  <si>
    <t>IN023389</t>
  </si>
  <si>
    <t>Lightbox</t>
  </si>
  <si>
    <t>16872.11.25k</t>
  </si>
  <si>
    <t>Flotz Montage</t>
  </si>
  <si>
    <t>ETG</t>
  </si>
  <si>
    <t>Labor Vidotto Leihsteller</t>
  </si>
  <si>
    <t>Leihsteller Abverkauf</t>
  </si>
  <si>
    <t>Alba Seating</t>
  </si>
  <si>
    <t>FVS-2025-1-002369</t>
  </si>
  <si>
    <t>Stadt Wien MA41</t>
  </si>
  <si>
    <t>Macro Array  November25</t>
  </si>
  <si>
    <t>IN026166</t>
  </si>
  <si>
    <t>VF202502526</t>
  </si>
  <si>
    <t>Blindenwohlfahrt 1Tisch</t>
  </si>
  <si>
    <t>Iveco 12/2025</t>
  </si>
  <si>
    <t>25EBAT16-1124</t>
  </si>
  <si>
    <t>Keller Grundbau Büro 1+2</t>
  </si>
  <si>
    <t>Keller Grundbau</t>
  </si>
  <si>
    <t>Maro inkl. Montage Büro 1</t>
  </si>
  <si>
    <t xml:space="preserve"> ZS2600597</t>
  </si>
  <si>
    <t>Maro inkl. Montage Büro 2</t>
  </si>
  <si>
    <t xml:space="preserve"> ZS2600681</t>
  </si>
  <si>
    <t>G-0582318</t>
  </si>
  <si>
    <t>Wolfgang Schillinger</t>
  </si>
  <si>
    <t>FPF 00026/01/2026</t>
  </si>
  <si>
    <t>TCM GmbH</t>
  </si>
  <si>
    <t>AtOffice</t>
  </si>
  <si>
    <t>RG 2026 / 1563263</t>
  </si>
  <si>
    <t>Keller Grundbau Büro 3</t>
  </si>
  <si>
    <t>Maro inkl. Montage Büro 3</t>
  </si>
  <si>
    <t>Immer oben Einfügen</t>
  </si>
  <si>
    <t>Einkauf EK Netto</t>
  </si>
  <si>
    <t>Zahlungen</t>
  </si>
  <si>
    <t>SUMME</t>
  </si>
  <si>
    <t>Summe</t>
  </si>
  <si>
    <t>Max Mustermann AG</t>
  </si>
  <si>
    <t>Lieferdienst</t>
  </si>
  <si>
    <t>VERTRIEBS- UND KOSTENBEREICHT</t>
  </si>
  <si>
    <t>KOSTENBEREICH</t>
  </si>
  <si>
    <t>KUNDE / UNTERNEHMEN</t>
  </si>
  <si>
    <t>Rechnungsdatum</t>
  </si>
  <si>
    <t>RECHNUNGSNUMMER (V)</t>
  </si>
  <si>
    <t>Verkauf Netto</t>
  </si>
  <si>
    <t>Restliche Kosten</t>
  </si>
  <si>
    <t>Spalte2</t>
  </si>
  <si>
    <t>Vertriebliche Bemerkungen</t>
  </si>
  <si>
    <t>Übertrag Egw-Telekom / Klline 2024  GW</t>
  </si>
  <si>
    <t>Einnahmen-Überschuss 2023-2024 16.462,17€</t>
  </si>
  <si>
    <t>Übertrag aus Vorperiode Alicona da Rechnungen 2025</t>
  </si>
  <si>
    <t>Filzfabrik.de</t>
  </si>
  <si>
    <t>MA69</t>
  </si>
  <si>
    <t>Management Factory</t>
  </si>
  <si>
    <t>Management Factory doppelte Rechnung 2024</t>
  </si>
  <si>
    <t>Jakob Maul GmbH</t>
  </si>
  <si>
    <t>FilzLaus</t>
  </si>
  <si>
    <t xml:space="preserve">LOG eMax </t>
  </si>
  <si>
    <t>Flexispot</t>
  </si>
  <si>
    <t>FilzLaus Nr2</t>
  </si>
  <si>
    <t>ReifenDirekt</t>
  </si>
  <si>
    <t>2x Reifen EGW10</t>
  </si>
  <si>
    <t>narbutas</t>
  </si>
  <si>
    <t>Tank /Parken Rechnung EGW 2025</t>
  </si>
  <si>
    <t>Lohnkosten 01.2025</t>
  </si>
  <si>
    <t>Internet / Tel 01.2025</t>
  </si>
  <si>
    <t>EGW-Anteile 01.2025</t>
  </si>
  <si>
    <t>THS Flozi</t>
  </si>
  <si>
    <t>Stadt Wien MA69</t>
  </si>
  <si>
    <t>Projekt Alicona2</t>
  </si>
  <si>
    <t>alba</t>
  </si>
  <si>
    <t>2024-1-003992</t>
  </si>
  <si>
    <t>community Empfang Teil1</t>
  </si>
  <si>
    <t>Teil1 Angebot25-00004</t>
  </si>
  <si>
    <t>Lohnkosten 02.2025</t>
  </si>
  <si>
    <t>Internet / Tel 02.2025</t>
  </si>
  <si>
    <t>Führer Holz</t>
  </si>
  <si>
    <t>Eiber Holding</t>
  </si>
  <si>
    <t>Iveco Austria</t>
  </si>
  <si>
    <t xml:space="preserve">Tisch Büro Valbon </t>
  </si>
  <si>
    <t>Keine RE</t>
  </si>
  <si>
    <t>Robo Valbon + 44€ Inveco</t>
  </si>
  <si>
    <t>Zentraler Einkauf Wien</t>
  </si>
  <si>
    <t>25-00011</t>
  </si>
  <si>
    <t>Flotz Transport</t>
  </si>
  <si>
    <t>Wien Veterinäramt</t>
  </si>
  <si>
    <t>office Völkle</t>
  </si>
  <si>
    <t>Alicona Retourkosten</t>
  </si>
  <si>
    <t xml:space="preserve">Rovo </t>
  </si>
  <si>
    <t>Comm-Unity</t>
  </si>
  <si>
    <t xml:space="preserve">Management Factory </t>
  </si>
  <si>
    <t>Lohnkosten 03.2025</t>
  </si>
  <si>
    <t>Internet / Tel 03.2025</t>
  </si>
  <si>
    <t>FeMedia</t>
  </si>
  <si>
    <t>GU:FeMedia</t>
  </si>
  <si>
    <t>Provision FeMedia NEOS</t>
  </si>
  <si>
    <t>mdd</t>
  </si>
  <si>
    <t>25-00002</t>
  </si>
  <si>
    <t>pro mente kärnten</t>
  </si>
  <si>
    <t>25-00013</t>
  </si>
  <si>
    <t>VKtec</t>
  </si>
  <si>
    <t>25-00014</t>
  </si>
  <si>
    <t>439,20€  Storno Rechnung  EGW10</t>
  </si>
  <si>
    <t>HOFA</t>
  </si>
  <si>
    <t>MA60  Akustik</t>
  </si>
  <si>
    <t>M&amp;K Filz</t>
  </si>
  <si>
    <t>Bürostuhl</t>
  </si>
  <si>
    <t>Pernikl GmbH</t>
  </si>
  <si>
    <t>MA60-5OG</t>
  </si>
  <si>
    <t xml:space="preserve">Stadt Wien MA69 </t>
  </si>
  <si>
    <t xml:space="preserve">Alicona Imaging </t>
  </si>
  <si>
    <t>25-00017</t>
  </si>
  <si>
    <t>Teil 1 50%</t>
  </si>
  <si>
    <t>BMV</t>
  </si>
  <si>
    <t>Projekt Community Plus Service EGW10 Summe 1072,3</t>
  </si>
  <si>
    <t>GLS</t>
  </si>
  <si>
    <t>ALBA Sessel Retour</t>
  </si>
  <si>
    <t>Lohnkosten 04.2025</t>
  </si>
  <si>
    <t>Internet / Tel 04.2025</t>
  </si>
  <si>
    <t>Hofa</t>
  </si>
  <si>
    <t>MA60-BA15</t>
  </si>
  <si>
    <t>25-00018</t>
  </si>
  <si>
    <t>25-00019</t>
  </si>
  <si>
    <t>Narbutas GU -100€ RE Gasthaus</t>
  </si>
  <si>
    <t>MA60  Akustik und MA69</t>
  </si>
  <si>
    <t>Promente DOPPELZAHLUNG €610 abzüglich GS 350</t>
  </si>
  <si>
    <t>Community</t>
  </si>
  <si>
    <t xml:space="preserve">Community zustellung </t>
  </si>
  <si>
    <t>International Migration</t>
  </si>
  <si>
    <t>Vorhang</t>
  </si>
  <si>
    <t>nowyStyl</t>
  </si>
  <si>
    <t>Gemeinde Kaltenbach</t>
  </si>
  <si>
    <t>Lohnkosten 05.2025</t>
  </si>
  <si>
    <t>Internet / Tel 05.2025</t>
  </si>
  <si>
    <t>EGW-Anteile 05.2025</t>
  </si>
  <si>
    <t>Lohnkosten 06.2025</t>
  </si>
  <si>
    <t>Internet / Tel 06.2025</t>
  </si>
  <si>
    <t>Jakob MAUL</t>
  </si>
  <si>
    <t>Gemeinde Kaltenbacher</t>
  </si>
  <si>
    <t>Community Empfang Teil2</t>
  </si>
  <si>
    <t xml:space="preserve">Narbutas </t>
  </si>
  <si>
    <t>Alicona3</t>
  </si>
  <si>
    <t>Fahrschule</t>
  </si>
  <si>
    <t>Teil:1 50%</t>
  </si>
  <si>
    <t>Projekt ICMPD FALSCH</t>
  </si>
  <si>
    <t>Alicona Imaging GmbH</t>
  </si>
  <si>
    <t>Rückabwicklung Ihrer Bestellung</t>
  </si>
  <si>
    <t>Projekt Alicona 3</t>
  </si>
  <si>
    <t xml:space="preserve">sevDesk GmbH </t>
  </si>
  <si>
    <t>2Y 27.06.2025 - 27.06.2027</t>
  </si>
  <si>
    <t>Nuntio  -960€ Über.</t>
  </si>
  <si>
    <t>GEMEINDE KALTENBACH</t>
  </si>
  <si>
    <t>MacroArray</t>
  </si>
  <si>
    <t>Teil1</t>
  </si>
  <si>
    <t>Projekt Alicona4</t>
  </si>
  <si>
    <t>Projekt Nuntio</t>
  </si>
  <si>
    <t>Alicona3 </t>
  </si>
  <si>
    <t>Flexospot</t>
  </si>
  <si>
    <t>Projekt IVECO </t>
  </si>
  <si>
    <t>Riegler</t>
  </si>
  <si>
    <t>2x Mello Matinee</t>
  </si>
  <si>
    <t>animar PPUH</t>
  </si>
  <si>
    <t xml:space="preserve">Sportplatz Andreas </t>
  </si>
  <si>
    <t>ALBA</t>
  </si>
  <si>
    <t>Alicona4</t>
  </si>
  <si>
    <t>Wolf David</t>
  </si>
  <si>
    <t>Fahrschule Lader</t>
  </si>
  <si>
    <t>Lohnkosten 07.2025</t>
  </si>
  <si>
    <t>Internet / Tel 07.2025</t>
  </si>
  <si>
    <t xml:space="preserve">Alicona 3 und Alicona 4 </t>
  </si>
  <si>
    <t>alicona Imaging GmbH</t>
  </si>
  <si>
    <t>Alicona Montage Nachverrechnung</t>
  </si>
  <si>
    <t>MARO</t>
  </si>
  <si>
    <t>ECOPlus</t>
  </si>
  <si>
    <t>Schilling</t>
  </si>
  <si>
    <t>Matratze</t>
  </si>
  <si>
    <t>nowystyl</t>
  </si>
  <si>
    <t>Farschule</t>
  </si>
  <si>
    <t xml:space="preserve">Matratze Schilling </t>
  </si>
  <si>
    <t>Lohnkosten 08.2025</t>
  </si>
  <si>
    <t>Internet / Tel 08.2025</t>
  </si>
  <si>
    <t>Alicona3 rest</t>
  </si>
  <si>
    <t>ecoplus. Niederösterreich</t>
  </si>
  <si>
    <t>AcuStixx Mar</t>
  </si>
  <si>
    <t>Projekt Madx</t>
  </si>
  <si>
    <t>Emil Hasecic</t>
  </si>
  <si>
    <t xml:space="preserve"> Iveco und MadX</t>
  </si>
  <si>
    <t>Iveco</t>
  </si>
  <si>
    <t>macroArray</t>
  </si>
  <si>
    <t>Madx-Iveco-Lokalbahn</t>
  </si>
  <si>
    <t>Lohnkosten 09.2025</t>
  </si>
  <si>
    <t>Internet / Tel 09.2025</t>
  </si>
  <si>
    <t xml:space="preserve">MCDC Fitness 50% </t>
  </si>
  <si>
    <t>MCDC Fitness</t>
  </si>
  <si>
    <t xml:space="preserve">50% der Rechnung </t>
  </si>
  <si>
    <t>Proj. Stadt Wien </t>
  </si>
  <si>
    <t>Projekt Blindenwohlfahrt</t>
  </si>
  <si>
    <t>Blindenwohlfart</t>
  </si>
  <si>
    <t xml:space="preserve">Vidotto </t>
  </si>
  <si>
    <t>Projekt Community</t>
  </si>
  <si>
    <t xml:space="preserve">Community </t>
  </si>
  <si>
    <t>Wien Kanal</t>
  </si>
  <si>
    <t>GM Kaltenbach</t>
  </si>
  <si>
    <t>Gemeinde Stadt Wien Kanal 2. Teil der Bestellung</t>
  </si>
  <si>
    <t xml:space="preserve">Führer </t>
  </si>
  <si>
    <t>v</t>
  </si>
  <si>
    <t>VERKAUFSSUMME</t>
  </si>
  <si>
    <t>KONTROLLWERTE</t>
  </si>
  <si>
    <t>VERKAUF</t>
  </si>
  <si>
    <t xml:space="preserve">EINKAUF EK </t>
  </si>
  <si>
    <t>Immer 0</t>
  </si>
  <si>
    <t xml:space="preserve">noch zu erwartende Einnahmen </t>
  </si>
  <si>
    <t xml:space="preserve">noch zu erwartende Ausgaben </t>
  </si>
  <si>
    <t>Aktueller Gewinn</t>
  </si>
  <si>
    <t>Internes Zeichen</t>
  </si>
  <si>
    <t>Produzent</t>
  </si>
  <si>
    <t>Ansprechpartner</t>
  </si>
  <si>
    <t>eMail</t>
  </si>
  <si>
    <t>Telefonnummer</t>
  </si>
  <si>
    <t>Rabatt %</t>
  </si>
  <si>
    <t>Zahlungsziel</t>
  </si>
  <si>
    <t>Lieferkosten</t>
  </si>
  <si>
    <t>Lieferzeit</t>
  </si>
  <si>
    <t>Arbeitstische</t>
  </si>
  <si>
    <t>Konferenzmöbel</t>
  </si>
  <si>
    <t>Sitzmöbel</t>
  </si>
  <si>
    <t>Loungemöbel</t>
  </si>
  <si>
    <t>Bürodrehstühle</t>
  </si>
  <si>
    <t>Schulmöbel</t>
  </si>
  <si>
    <t>Raumakustik</t>
  </si>
  <si>
    <t>Küchen</t>
  </si>
  <si>
    <t>MAV</t>
  </si>
  <si>
    <t xml:space="preserve">Maveko </t>
  </si>
  <si>
    <t>20-30%</t>
  </si>
  <si>
    <t>14 Tage</t>
  </si>
  <si>
    <t>5,80 pro Lieferung</t>
  </si>
  <si>
    <t>8 bis 10 Wochen/prompt</t>
  </si>
  <si>
    <t>ROV</t>
  </si>
  <si>
    <t>RovoChair</t>
  </si>
  <si>
    <t>Yannick Völkle</t>
  </si>
  <si>
    <t>yvoelkle@rovochair.com </t>
  </si>
  <si>
    <t>+49-(0)7446 182 260</t>
  </si>
  <si>
    <t>46% + 2% Skonto</t>
  </si>
  <si>
    <t>30 Tage</t>
  </si>
  <si>
    <t>1 Stuhl kostet 28,00 €   bei 2 Stühlen = 23,00 €   ab 3 Stühlen = 18,00 € </t>
  </si>
  <si>
    <t>4 Wochen</t>
  </si>
  <si>
    <t xml:space="preserve">MDD </t>
  </si>
  <si>
    <t>Marta Krzanik</t>
  </si>
  <si>
    <t xml:space="preserve">mkrzanik@mdd.pl </t>
  </si>
  <si>
    <t>+48 782 959 090</t>
  </si>
  <si>
    <t>0,00 - 80,00 €  (Sattelschlepper und 7,5t Zufahrt)</t>
  </si>
  <si>
    <t>8-10 Wochen</t>
  </si>
  <si>
    <t>NAR</t>
  </si>
  <si>
    <t xml:space="preserve">Christian Tröger </t>
  </si>
  <si>
    <t>c.troeger@narbutas.li</t>
  </si>
  <si>
    <t>ab 500€ gratis</t>
  </si>
  <si>
    <t>8 Wochen</t>
  </si>
  <si>
    <t>INC</t>
  </si>
  <si>
    <t>INCLASS</t>
  </si>
  <si>
    <t>Andreas Getzinger</t>
  </si>
  <si>
    <t>andreas.getzinger@design4architects.com</t>
  </si>
  <si>
    <t>+43 677 62418162</t>
  </si>
  <si>
    <t>40% (wir rechnen 10% drauf)</t>
  </si>
  <si>
    <t>&lt;1000 EUR Bestellwert € 80,00   &gt;1000 EUR Bestellwert  € 0,00</t>
  </si>
  <si>
    <t>7 Wochen</t>
  </si>
  <si>
    <t>STE</t>
  </si>
  <si>
    <t>Roman Szabo</t>
  </si>
  <si>
    <t>r.szabo@steelcase-bmv.at</t>
  </si>
  <si>
    <t>+43 664 851 63 13</t>
  </si>
  <si>
    <t>55%  außer Gesture, LEAP Technologieprodukte, Worktools, Ersatzteile und Steelcasepartner</t>
  </si>
  <si>
    <t>Baden 50 Euro, Steiermark 150 Euro</t>
  </si>
  <si>
    <t>STEF</t>
  </si>
  <si>
    <t>Stefani Design</t>
  </si>
  <si>
    <t>Matteo Stefani</t>
  </si>
  <si>
    <t>matteo@stefanioffice.it</t>
  </si>
  <si>
    <t>+39 339 6220269</t>
  </si>
  <si>
    <t>50% Anzahlung, 50% vor Lieferung</t>
  </si>
  <si>
    <t>Nach Stainz inkludiert</t>
  </si>
  <si>
    <t>6-8 Wochen</t>
  </si>
  <si>
    <t>nein</t>
  </si>
  <si>
    <t>VES</t>
  </si>
  <si>
    <t> A. Vesalainen Oy</t>
  </si>
  <si>
    <t>Timo Kahila</t>
  </si>
  <si>
    <t>timo@vesalainen.fi</t>
  </si>
  <si>
    <t>+358 400 8​48 202</t>
  </si>
  <si>
    <t>per Angebot</t>
  </si>
  <si>
    <t>lt. Angebot</t>
  </si>
  <si>
    <t>4-6 Wochen</t>
  </si>
  <si>
    <t>elektrisch höhenverstellbare Tische</t>
  </si>
  <si>
    <t>TRU</t>
  </si>
  <si>
    <t>True Design</t>
  </si>
  <si>
    <t>Mara Ruggieri</t>
  </si>
  <si>
    <t>mara.ruggieri@truedesign.it</t>
  </si>
  <si>
    <t>+39 3404293174</t>
  </si>
  <si>
    <t>Vorauskassa bis 3000 € Bestellwert. Drüber 50%/50% vor Lieferung</t>
  </si>
  <si>
    <t>inkl. Lieferung</t>
  </si>
  <si>
    <t>6-7 Wochen</t>
  </si>
  <si>
    <t>ATO</t>
  </si>
  <si>
    <t>AT Office</t>
  </si>
  <si>
    <t>yvoelkle@atoffice.de</t>
  </si>
  <si>
    <t>14 Tage nach Lieferung</t>
  </si>
  <si>
    <t>NOW</t>
  </si>
  <si>
    <t>Peter Dobias</t>
  </si>
  <si>
    <t>peter.dobias@nowystyl.com</t>
  </si>
  <si>
    <t>+43 664 390 87 57</t>
  </si>
  <si>
    <t>55% Sitzmöbel, 60% Büromöbel</t>
  </si>
  <si>
    <t>85 Euro, unter 400 Euro Bestellwert keine Lieferung</t>
  </si>
  <si>
    <t>KUS</t>
  </si>
  <si>
    <t>Kusch + Co</t>
  </si>
  <si>
    <t>VAM</t>
  </si>
  <si>
    <t>Vama Cucine</t>
  </si>
  <si>
    <t>Carole Mancini</t>
  </si>
  <si>
    <t>carole@vamacucine.com</t>
  </si>
  <si>
    <t>+39 (721) 162 7626</t>
  </si>
  <si>
    <t>GAB</t>
  </si>
  <si>
    <t>Gabriel Küchen GmbH</t>
  </si>
  <si>
    <t>Roman Kolar</t>
  </si>
  <si>
    <t>info@kuechen-gabriel.at</t>
  </si>
  <si>
    <t>+43 660 379 19 75</t>
  </si>
  <si>
    <t>KÜC</t>
  </si>
  <si>
    <t>Küche&amp;Co Wattens</t>
  </si>
  <si>
    <t>Anna Wagenhuber</t>
  </si>
  <si>
    <t>Montagepartner/Lager</t>
  </si>
  <si>
    <t>Unternehmer</t>
  </si>
  <si>
    <t>Anschrift</t>
  </si>
  <si>
    <t>PLZ</t>
  </si>
  <si>
    <t>ORT</t>
  </si>
  <si>
    <t>Gebiete</t>
  </si>
  <si>
    <t>Montage</t>
  </si>
  <si>
    <t>Lieferung</t>
  </si>
  <si>
    <t xml:space="preserve">Lager </t>
  </si>
  <si>
    <t>BEMERKUNG</t>
  </si>
  <si>
    <t>Montagetischler Andreas Wunder</t>
  </si>
  <si>
    <t>Andreas Wunder</t>
  </si>
  <si>
    <t xml:space="preserve">+43 650 24 22 000 </t>
  </si>
  <si>
    <t>montagetischler@a-wunder.at</t>
  </si>
  <si>
    <t>Hauptstraße 78</t>
  </si>
  <si>
    <t>Wimpassing an der Leitha</t>
  </si>
  <si>
    <t>Nord-Bgld, Ost-NÖ und Wien</t>
  </si>
  <si>
    <t>Nur mit Ladebordwand</t>
  </si>
  <si>
    <t>Holzmanufaktur Daniel Führer E.U.</t>
  </si>
  <si>
    <t>+43 650 6441199</t>
  </si>
  <si>
    <t>office@​holzmanufaktur-fuehrer.at</t>
  </si>
  <si>
    <t>Grazerstraße 37</t>
  </si>
  <si>
    <t>Lebring-Sankt Margarethen</t>
  </si>
  <si>
    <t>Süd-Bgld und Steiermark</t>
  </si>
  <si>
    <t>Bautransmontage E.U.</t>
  </si>
  <si>
    <t>Wahe Sarkissjan </t>
  </si>
  <si>
    <t>+43/664/1839395</t>
  </si>
  <si>
    <t>office@bautransmontage.com</t>
  </si>
  <si>
    <t>Hans-Czermak Gasse 8/2/19</t>
  </si>
  <si>
    <t>Wien</t>
  </si>
  <si>
    <t>Österreichweit</t>
  </si>
  <si>
    <t>Montagetischler David Wolf</t>
  </si>
  <si>
    <t>David Wolf</t>
  </si>
  <si>
    <t>+43 664 5608305</t>
  </si>
  <si>
    <t>davidwolf@a1.net</t>
  </si>
  <si>
    <t>Galtschein 31</t>
  </si>
  <si>
    <t>Trins</t>
  </si>
  <si>
    <t>Tirol, Vlbg.</t>
  </si>
  <si>
    <t>A&amp;W KG - Küche&amp;Co. Wattens</t>
  </si>
  <si>
    <t xml:space="preserve">+43 676 65 66 870    </t>
  </si>
  <si>
    <t>wattens@kuecheco.at</t>
  </si>
  <si>
    <t>Siberweg 7</t>
  </si>
  <si>
    <t>Hall in Tirol</t>
  </si>
  <si>
    <t>VkTec GmbH</t>
  </si>
  <si>
    <t>Matthias Bilina</t>
  </si>
  <si>
    <t>office@vktec.at</t>
  </si>
  <si>
    <t>Akaziengasse 40</t>
  </si>
  <si>
    <t>Wien, NÖ</t>
  </si>
  <si>
    <t>Sattelschlepper möglich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</si>
</sst>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6" formatCode="#,##0\ &quot;€&quot;;[Red]\-#,##0\ &quot;€&quot;"/>
    <numFmt numFmtId="164" formatCode="&quot;€&quot;\ #,##0.00;[Red]\-&quot;€&quot;\ #,##0.00"/>
    <numFmt numFmtId="165" formatCode="_-&quot;$&quot;* #,##0.00_-;\-&quot;$&quot;* #,##0.00_-;_-&quot;$&quot;* &quot;-&quot;??_-;_-@_-"/>
    <numFmt numFmtId="166" formatCode="&quot;€&quot;#,##0.00"/>
    <numFmt numFmtId="167" formatCode="#,##0.00\ &quot;€&quot;"/>
    <numFmt numFmtId="168" formatCode="&quot;€&quot;\ #,##0.00"/>
    <numFmt numFmtId="169" formatCode="#,##0.00_ ;[Red]\-#,##0.00\ "/>
  </numFmts>
  <fonts count="69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0"/>
      <color theme="0" tint="-0.499984740745262"/>
      <name val="Century Gothic"/>
      <family val="1"/>
    </font>
    <font>
      <b/>
      <sz val="22"/>
      <color theme="4"/>
      <name val="Century Gothic"/>
      <family val="1"/>
    </font>
    <font>
      <sz val="11"/>
      <color theme="1"/>
      <name val="Century Gothic"/>
      <family val="1"/>
    </font>
    <font>
      <sz val="11"/>
      <color theme="1"/>
      <name val="Calibri"/>
      <family val="2"/>
      <scheme val="minor"/>
    </font>
    <font>
      <b/>
      <sz val="10"/>
      <color theme="0"/>
      <name val="Century Gothic"/>
      <family val="1"/>
    </font>
    <font>
      <sz val="10"/>
      <color theme="1"/>
      <name val="Century Gothic"/>
      <family val="1"/>
    </font>
    <font>
      <sz val="12"/>
      <color theme="10"/>
      <name val="Calibri"/>
      <family val="2"/>
      <scheme val="minor"/>
    </font>
    <font>
      <sz val="10"/>
      <color theme="1"/>
      <name val="Century Gothic"/>
      <family val="2"/>
    </font>
    <font>
      <b/>
      <sz val="10"/>
      <color theme="1"/>
      <name val="Century Gothic"/>
      <family val="2"/>
    </font>
    <font>
      <sz val="10"/>
      <color theme="1"/>
      <name val="Century Gothic"/>
    </font>
    <font>
      <b/>
      <sz val="10"/>
      <color rgb="FFFF0000"/>
      <name val="Century Gothic"/>
      <family val="1"/>
    </font>
    <font>
      <sz val="10"/>
      <color rgb="FF000000"/>
      <name val="Century Gothic"/>
      <charset val="1"/>
    </font>
    <font>
      <b/>
      <sz val="10"/>
      <color theme="1"/>
      <name val="Century Gothic"/>
    </font>
    <font>
      <sz val="12"/>
      <color theme="1"/>
      <name val="Century"/>
    </font>
    <font>
      <sz val="12"/>
      <color rgb="FF000000"/>
      <name val="Aptos"/>
      <family val="2"/>
      <charset val="1"/>
    </font>
    <font>
      <b/>
      <sz val="11"/>
      <color theme="0"/>
      <name val="Calibri Light"/>
      <scheme val="major"/>
    </font>
    <font>
      <sz val="11"/>
      <color theme="1"/>
      <name val="Arial"/>
    </font>
    <font>
      <b/>
      <sz val="11"/>
      <color theme="1"/>
      <name val="Calibri"/>
      <family val="2"/>
      <scheme val="minor"/>
    </font>
    <font>
      <b/>
      <sz val="11"/>
      <color theme="0" tint="-0.499984740745262"/>
      <name val="Arial"/>
    </font>
    <font>
      <b/>
      <sz val="11"/>
      <color theme="4"/>
      <name val="Arial"/>
    </font>
    <font>
      <b/>
      <sz val="11"/>
      <color theme="0"/>
      <name val="Arial"/>
    </font>
    <font>
      <sz val="11"/>
      <color rgb="FF212121"/>
      <name val="Arial"/>
    </font>
    <font>
      <sz val="11"/>
      <color rgb="FF454545"/>
      <name val="Arial"/>
    </font>
    <font>
      <sz val="11"/>
      <color rgb="FF000000"/>
      <name val="Arial"/>
    </font>
    <font>
      <sz val="11"/>
      <color rgb="FF242424"/>
      <name val="Arial"/>
    </font>
    <font>
      <u/>
      <sz val="12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201F1E"/>
      <name val="Calibri"/>
      <family val="2"/>
      <charset val="1"/>
    </font>
    <font>
      <b/>
      <sz val="11"/>
      <color rgb="FF201F1E"/>
      <name val="Calibri"/>
      <family val="2"/>
      <charset val="1"/>
    </font>
    <font>
      <b/>
      <sz val="10"/>
      <color rgb="FF000000"/>
      <name val="Segoe UI"/>
      <charset val="1"/>
    </font>
    <font>
      <sz val="11"/>
      <color rgb="FF201F1E"/>
      <name val="Calibri"/>
      <charset val="1"/>
    </font>
    <font>
      <b/>
      <sz val="11"/>
      <color rgb="FF201F1E"/>
      <name val="Calibri"/>
      <charset val="1"/>
    </font>
    <font>
      <b/>
      <sz val="10"/>
      <color rgb="FF000000"/>
      <name val="Calibri"/>
      <charset val="1"/>
    </font>
    <font>
      <b/>
      <sz val="11"/>
      <color rgb="FF2A2A2A"/>
      <name val="Calibri"/>
    </font>
    <font>
      <b/>
      <sz val="10"/>
      <color rgb="FF000000"/>
      <name val="Calibri"/>
    </font>
    <font>
      <b/>
      <sz val="12"/>
      <color theme="1"/>
      <name val="Calibri"/>
      <family val="2"/>
      <scheme val="minor"/>
    </font>
    <font>
      <sz val="12"/>
      <color theme="9" tint="0.39997558519241921"/>
      <name val="Calibri"/>
      <family val="2"/>
      <scheme val="minor"/>
    </font>
    <font>
      <sz val="10"/>
      <color rgb="FF0F131A"/>
      <name val="Century Gothic"/>
    </font>
    <font>
      <sz val="12"/>
      <color theme="1"/>
      <name val="Calibri"/>
      <scheme val="minor"/>
    </font>
    <font>
      <sz val="12"/>
      <color rgb="FFFF0000"/>
      <name val="Calibri"/>
      <family val="2"/>
      <scheme val="minor"/>
    </font>
    <font>
      <sz val="12"/>
      <color theme="9"/>
      <name val="Calibri"/>
      <family val="2"/>
      <scheme val="minor"/>
    </font>
    <font>
      <sz val="11"/>
      <color rgb="FF9C0006"/>
      <name val="Calibri"/>
      <scheme val="minor"/>
    </font>
    <font>
      <sz val="10"/>
      <color rgb="FF92D050"/>
      <name val="Century Gothic"/>
      <family val="1"/>
    </font>
    <font>
      <sz val="11"/>
      <color theme="1"/>
      <name val="Aptos Narrow"/>
      <family val="2"/>
    </font>
    <font>
      <sz val="11"/>
      <color rgb="FF000000"/>
      <name val="Aptos Narrow"/>
    </font>
    <font>
      <sz val="11"/>
      <color theme="1"/>
      <name val="Century Gothic"/>
      <family val="2"/>
    </font>
    <font>
      <b/>
      <sz val="11"/>
      <color rgb="FF000000"/>
      <name val="Century Gothic"/>
      <family val="2"/>
    </font>
    <font>
      <b/>
      <sz val="12"/>
      <color theme="4"/>
      <name val="Century Gothic"/>
      <family val="2"/>
    </font>
    <font>
      <b/>
      <sz val="11"/>
      <color rgb="FFFF0000"/>
      <name val="Century Gothic"/>
      <family val="2"/>
    </font>
    <font>
      <b/>
      <sz val="11"/>
      <color theme="0" tint="-0.499984740745262"/>
      <name val="Century Gothic"/>
      <family val="2"/>
    </font>
    <font>
      <b/>
      <sz val="11"/>
      <color theme="4"/>
      <name val="Century Gothic"/>
      <family val="2"/>
    </font>
    <font>
      <b/>
      <sz val="11"/>
      <color rgb="FF444444"/>
      <name val="Century Gothic"/>
      <family val="2"/>
    </font>
    <font>
      <b/>
      <sz val="11"/>
      <color theme="0"/>
      <name val="Century Gothic"/>
      <family val="2"/>
    </font>
    <font>
      <b/>
      <sz val="11"/>
      <color rgb="FFFFFFFF"/>
      <name val="Century Gothic"/>
      <family val="2"/>
    </font>
    <font>
      <sz val="11"/>
      <color theme="0"/>
      <name val="Century Gothic"/>
      <family val="2"/>
    </font>
    <font>
      <b/>
      <sz val="11"/>
      <color theme="1"/>
      <name val="Century Gothic"/>
      <family val="2"/>
    </font>
    <font>
      <sz val="11"/>
      <color rgb="FF000000"/>
      <name val="Century Gothic"/>
      <family val="2"/>
    </font>
    <font>
      <sz val="11"/>
      <color rgb="FFFF0000"/>
      <name val="Century Gothic"/>
      <family val="2"/>
    </font>
    <font>
      <b/>
      <sz val="12"/>
      <color theme="0"/>
      <name val="Calibri"/>
      <family val="2"/>
      <scheme val="minor"/>
    </font>
    <font>
      <b/>
      <sz val="11"/>
      <color theme="1" tint="4.9989318521683403E-2"/>
      <name val="Century Gothic"/>
      <family val="2"/>
    </font>
    <font>
      <sz val="11"/>
      <color theme="1"/>
      <name val="Century Gothic"/>
    </font>
    <font>
      <sz val="12"/>
      <color rgb="FF000000"/>
      <name val="Aptos"/>
      <charset val="1"/>
    </font>
    <font>
      <b/>
      <sz val="11"/>
      <color rgb="FFFF0000"/>
      <name val="Century Gothic"/>
    </font>
    <font>
      <b/>
      <sz val="11"/>
      <color theme="1"/>
      <name val="Century Gothic"/>
    </font>
    <font>
      <b/>
      <sz val="11"/>
      <color theme="1" tint="4.9989318521683403E-2"/>
      <name val="Century Gothic"/>
    </font>
    <font>
      <b/>
      <sz val="12"/>
      <color rgb="FF000000"/>
      <name val="Aptos"/>
      <family val="2"/>
      <charset val="1"/>
    </font>
    <font>
      <sz val="11"/>
      <name val="Lato"/>
    </font>
  </fonts>
  <fills count="31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6DF89"/>
        <bgColor indexed="64"/>
      </patternFill>
    </fill>
    <fill>
      <patternFill patternType="solid">
        <fgColor rgb="FFFFC7CE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1" tint="0.14999847407452621"/>
        <bgColor indexed="64"/>
      </patternFill>
    </fill>
  </fills>
  <borders count="41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theme="8" tint="0.59999389629810485"/>
      </left>
      <right style="thin">
        <color theme="8" tint="0.59999389629810485"/>
      </right>
      <top/>
      <bottom style="thin">
        <color rgb="FFB4C6E7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ck">
        <color theme="1"/>
      </left>
      <right style="thin">
        <color theme="1"/>
      </right>
      <top style="thick">
        <color theme="1"/>
      </top>
      <bottom style="thick">
        <color theme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/>
      <top style="thick">
        <color theme="1"/>
      </top>
      <bottom style="thick">
        <color theme="1"/>
      </bottom>
      <diagonal/>
    </border>
    <border>
      <left style="thin">
        <color theme="1"/>
      </left>
      <right/>
      <top style="thin">
        <color theme="0" tint="-0.249977111117893"/>
      </top>
      <bottom/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/>
      <top style="thin">
        <color theme="0" tint="-0.249977111117893"/>
      </top>
      <bottom style="thin">
        <color indexed="64"/>
      </bottom>
      <diagonal/>
    </border>
    <border>
      <left/>
      <right/>
      <top style="thin">
        <color theme="0" tint="-0.249977111117893"/>
      </top>
      <bottom style="thin">
        <color indexed="64"/>
      </bottom>
      <diagonal/>
    </border>
    <border>
      <left/>
      <right style="thin">
        <color theme="1"/>
      </right>
      <top style="thin">
        <color theme="0" tint="-0.249977111117893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165" fontId="1" fillId="0" borderId="0"/>
    <xf numFmtId="0" fontId="5" fillId="0" borderId="0"/>
    <xf numFmtId="0" fontId="8" fillId="0" borderId="0"/>
    <xf numFmtId="0" fontId="43" fillId="25" borderId="0" applyNumberFormat="0" applyBorder="0" applyAlignment="0" applyProtection="0"/>
  </cellStyleXfs>
  <cellXfs count="346">
    <xf numFmtId="0" fontId="0" fillId="0" borderId="0" xfId="0"/>
    <xf numFmtId="0" fontId="2" fillId="24" borderId="0" xfId="0" applyFont="1" applyFill="1" applyAlignment="1">
      <alignment horizontal="left" vertical="center" wrapText="1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4" fontId="7" fillId="0" borderId="1" xfId="1" applyNumberFormat="1" applyFont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6" fillId="6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166" fontId="7" fillId="0" borderId="1" xfId="1" applyNumberFormat="1" applyFont="1" applyBorder="1" applyAlignment="1">
      <alignment horizontal="center" vertical="center" wrapText="1"/>
    </xf>
    <xf numFmtId="166" fontId="7" fillId="3" borderId="1" xfId="1" applyNumberFormat="1" applyFont="1" applyFill="1" applyBorder="1" applyAlignment="1">
      <alignment horizontal="center" vertical="center" wrapText="1"/>
    </xf>
    <xf numFmtId="1" fontId="3" fillId="0" borderId="0" xfId="0" applyNumberFormat="1" applyFont="1" applyAlignment="1">
      <alignment vertical="center"/>
    </xf>
    <xf numFmtId="1" fontId="4" fillId="0" borderId="1" xfId="1" applyNumberFormat="1" applyFont="1" applyBorder="1" applyAlignment="1">
      <alignment horizontal="center" vertical="center" wrapText="1"/>
    </xf>
    <xf numFmtId="0" fontId="6" fillId="9" borderId="1" xfId="0" applyFont="1" applyFill="1" applyBorder="1" applyAlignment="1">
      <alignment horizontal="center" vertical="center" wrapText="1"/>
    </xf>
    <xf numFmtId="0" fontId="0" fillId="10" borderId="0" xfId="0" applyFill="1"/>
    <xf numFmtId="167" fontId="9" fillId="10" borderId="0" xfId="0" applyNumberFormat="1" applyFont="1" applyFill="1"/>
    <xf numFmtId="167" fontId="7" fillId="0" borderId="1" xfId="1" applyNumberFormat="1" applyFont="1" applyBorder="1" applyAlignment="1">
      <alignment horizontal="center" vertical="center" wrapText="1"/>
    </xf>
    <xf numFmtId="167" fontId="0" fillId="0" borderId="0" xfId="0" applyNumberFormat="1"/>
    <xf numFmtId="14" fontId="11" fillId="0" borderId="1" xfId="1" applyNumberFormat="1" applyFont="1" applyBorder="1" applyAlignment="1">
      <alignment horizontal="center" vertical="center" wrapText="1"/>
    </xf>
    <xf numFmtId="1" fontId="11" fillId="0" borderId="1" xfId="1" applyNumberFormat="1" applyFont="1" applyBorder="1" applyAlignment="1">
      <alignment horizontal="center" vertical="center" wrapText="1"/>
    </xf>
    <xf numFmtId="167" fontId="11" fillId="0" borderId="1" xfId="1" applyNumberFormat="1" applyFont="1" applyBorder="1" applyAlignment="1">
      <alignment horizontal="center" vertical="center" wrapText="1"/>
    </xf>
    <xf numFmtId="0" fontId="5" fillId="0" borderId="0" xfId="0" applyFont="1"/>
    <xf numFmtId="0" fontId="0" fillId="0" borderId="0" xfId="0" applyAlignment="1">
      <alignment horizontal="center" vertical="center"/>
    </xf>
    <xf numFmtId="0" fontId="6" fillId="16" borderId="1" xfId="0" applyFont="1" applyFill="1" applyBorder="1" applyAlignment="1">
      <alignment horizontal="center" vertical="center" wrapText="1"/>
    </xf>
    <xf numFmtId="1" fontId="6" fillId="16" borderId="1" xfId="0" applyNumberFormat="1" applyFont="1" applyFill="1" applyBorder="1" applyAlignment="1">
      <alignment horizontal="center" vertical="center" wrapText="1"/>
    </xf>
    <xf numFmtId="0" fontId="6" fillId="17" borderId="1" xfId="0" applyFont="1" applyFill="1" applyBorder="1" applyAlignment="1">
      <alignment horizontal="center" vertical="center" wrapText="1"/>
    </xf>
    <xf numFmtId="0" fontId="16" fillId="0" borderId="0" xfId="0" applyFont="1"/>
    <xf numFmtId="0" fontId="17" fillId="18" borderId="0" xfId="0" applyFont="1" applyFill="1" applyAlignment="1">
      <alignment horizontal="center" vertical="center"/>
    </xf>
    <xf numFmtId="167" fontId="11" fillId="10" borderId="0" xfId="0" applyNumberFormat="1" applyFont="1" applyFill="1"/>
    <xf numFmtId="0" fontId="19" fillId="11" borderId="0" xfId="0" applyFont="1" applyFill="1"/>
    <xf numFmtId="0" fontId="20" fillId="0" borderId="0" xfId="0" applyFont="1" applyAlignment="1">
      <alignment vertical="center"/>
    </xf>
    <xf numFmtId="1" fontId="21" fillId="0" borderId="0" xfId="0" applyNumberFormat="1" applyFont="1" applyAlignment="1">
      <alignment vertical="center"/>
    </xf>
    <xf numFmtId="0" fontId="18" fillId="0" borderId="0" xfId="0" applyFont="1" applyAlignment="1">
      <alignment vertical="center"/>
    </xf>
    <xf numFmtId="0" fontId="22" fillId="6" borderId="2" xfId="0" applyFont="1" applyFill="1" applyBorder="1" applyAlignment="1">
      <alignment horizontal="center" vertical="center" wrapText="1"/>
    </xf>
    <xf numFmtId="0" fontId="22" fillId="16" borderId="1" xfId="0" applyFont="1" applyFill="1" applyBorder="1" applyAlignment="1">
      <alignment horizontal="center" vertical="center" wrapText="1"/>
    </xf>
    <xf numFmtId="1" fontId="22" fillId="16" borderId="1" xfId="0" applyNumberFormat="1" applyFont="1" applyFill="1" applyBorder="1" applyAlignment="1">
      <alignment horizontal="center" vertical="center" wrapText="1"/>
    </xf>
    <xf numFmtId="1" fontId="22" fillId="9" borderId="1" xfId="0" applyNumberFormat="1" applyFont="1" applyFill="1" applyBorder="1" applyAlignment="1">
      <alignment horizontal="center" vertical="center" wrapText="1"/>
    </xf>
    <xf numFmtId="49" fontId="18" fillId="0" borderId="1" xfId="0" applyNumberFormat="1" applyFont="1" applyBorder="1" applyAlignment="1">
      <alignment horizontal="center" vertical="center" wrapText="1" indent="1"/>
    </xf>
    <xf numFmtId="0" fontId="18" fillId="0" borderId="0" xfId="0" applyFont="1" applyAlignment="1">
      <alignment horizontal="center" vertical="center"/>
    </xf>
    <xf numFmtId="1" fontId="18" fillId="0" borderId="1" xfId="1" applyNumberFormat="1" applyFont="1" applyBorder="1" applyAlignment="1">
      <alignment horizontal="center" vertical="center" wrapText="1"/>
    </xf>
    <xf numFmtId="166" fontId="18" fillId="0" borderId="1" xfId="1" applyNumberFormat="1" applyFont="1" applyBorder="1" applyAlignment="1">
      <alignment horizontal="center" vertical="center" wrapText="1"/>
    </xf>
    <xf numFmtId="166" fontId="18" fillId="0" borderId="0" xfId="1" applyNumberFormat="1" applyFont="1" applyAlignment="1">
      <alignment horizontal="center" vertical="center" wrapText="1"/>
    </xf>
    <xf numFmtId="2" fontId="18" fillId="0" borderId="1" xfId="1" applyNumberFormat="1" applyFont="1" applyBorder="1" applyAlignment="1">
      <alignment horizontal="center" vertical="center" wrapText="1"/>
    </xf>
    <xf numFmtId="0" fontId="23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14" fontId="18" fillId="0" borderId="1" xfId="1" applyNumberFormat="1" applyFont="1" applyBorder="1" applyAlignment="1">
      <alignment horizontal="center" vertical="center" wrapText="1"/>
    </xf>
    <xf numFmtId="0" fontId="26" fillId="0" borderId="0" xfId="0" applyFont="1" applyAlignment="1">
      <alignment horizontal="center" vertical="center" wrapText="1"/>
    </xf>
    <xf numFmtId="1" fontId="18" fillId="0" borderId="0" xfId="1" applyNumberFormat="1" applyFont="1" applyAlignment="1">
      <alignment horizontal="center" vertical="center" wrapText="1"/>
    </xf>
    <xf numFmtId="0" fontId="20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18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27" fillId="0" borderId="0" xfId="3" applyFont="1" applyAlignment="1">
      <alignment horizontal="center"/>
    </xf>
    <xf numFmtId="0" fontId="0" fillId="19" borderId="0" xfId="0" applyFill="1" applyAlignment="1">
      <alignment horizontal="center" vertical="center"/>
    </xf>
    <xf numFmtId="0" fontId="19" fillId="20" borderId="0" xfId="0" applyFont="1" applyFill="1" applyAlignment="1">
      <alignment horizontal="center" vertical="center"/>
    </xf>
    <xf numFmtId="0" fontId="19" fillId="20" borderId="0" xfId="0" applyFont="1" applyFill="1" applyAlignment="1">
      <alignment horizontal="center"/>
    </xf>
    <xf numFmtId="0" fontId="19" fillId="21" borderId="0" xfId="0" applyFont="1" applyFill="1" applyAlignment="1">
      <alignment horizontal="center" vertical="center"/>
    </xf>
    <xf numFmtId="0" fontId="19" fillId="21" borderId="0" xfId="0" applyFont="1" applyFill="1" applyAlignment="1">
      <alignment horizontal="center" vertical="center" wrapText="1"/>
    </xf>
    <xf numFmtId="0" fontId="19" fillId="22" borderId="0" xfId="0" applyFont="1" applyFill="1" applyAlignment="1">
      <alignment horizontal="center"/>
    </xf>
    <xf numFmtId="0" fontId="0" fillId="0" borderId="0" xfId="0" applyAlignment="1">
      <alignment vertical="center"/>
    </xf>
    <xf numFmtId="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wrapText="1"/>
    </xf>
    <xf numFmtId="4" fontId="0" fillId="0" borderId="0" xfId="0" applyNumberFormat="1" applyAlignment="1">
      <alignment horizontal="center" vertical="center" wrapText="1"/>
    </xf>
    <xf numFmtId="0" fontId="19" fillId="0" borderId="0" xfId="0" applyFont="1" applyAlignment="1">
      <alignment horizontal="center" vertical="center"/>
    </xf>
    <xf numFmtId="0" fontId="27" fillId="0" borderId="0" xfId="3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9" fontId="0" fillId="0" borderId="0" xfId="0" applyNumberFormat="1" applyAlignment="1">
      <alignment horizontal="center" vertical="center" wrapText="1"/>
    </xf>
    <xf numFmtId="0" fontId="27" fillId="0" borderId="0" xfId="3" applyFont="1" applyAlignment="1">
      <alignment horizontal="center" vertical="center" wrapText="1"/>
    </xf>
    <xf numFmtId="0" fontId="30" fillId="0" borderId="0" xfId="0" quotePrefix="1" applyFont="1" applyAlignment="1">
      <alignment horizontal="center" vertical="center" wrapText="1"/>
    </xf>
    <xf numFmtId="0" fontId="31" fillId="0" borderId="0" xfId="0" quotePrefix="1" applyFont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33" fillId="0" borderId="0" xfId="0" applyFont="1" applyAlignment="1">
      <alignment horizontal="center" vertical="center"/>
    </xf>
    <xf numFmtId="0" fontId="34" fillId="0" borderId="0" xfId="0" quotePrefix="1" applyFont="1" applyAlignment="1">
      <alignment horizontal="center"/>
    </xf>
    <xf numFmtId="0" fontId="0" fillId="0" borderId="0" xfId="0" applyAlignment="1">
      <alignment horizontal="center" wrapText="1"/>
    </xf>
    <xf numFmtId="0" fontId="35" fillId="0" borderId="0" xfId="0" applyFont="1" applyAlignment="1">
      <alignment horizontal="center" vertical="center"/>
    </xf>
    <xf numFmtId="1" fontId="36" fillId="0" borderId="0" xfId="0" applyNumberFormat="1" applyFont="1" applyAlignment="1">
      <alignment horizontal="center" vertical="center"/>
    </xf>
    <xf numFmtId="0" fontId="36" fillId="0" borderId="0" xfId="0" quotePrefix="1" applyFont="1" applyAlignment="1">
      <alignment horizontal="center" vertical="center"/>
    </xf>
    <xf numFmtId="0" fontId="0" fillId="23" borderId="0" xfId="0" applyFill="1"/>
    <xf numFmtId="14" fontId="7" fillId="23" borderId="1" xfId="1" applyNumberFormat="1" applyFont="1" applyFill="1" applyBorder="1" applyAlignment="1">
      <alignment horizontal="center" vertical="center" wrapText="1"/>
    </xf>
    <xf numFmtId="1" fontId="4" fillId="23" borderId="1" xfId="1" applyNumberFormat="1" applyFont="1" applyFill="1" applyBorder="1" applyAlignment="1">
      <alignment horizontal="center" vertical="center" wrapText="1"/>
    </xf>
    <xf numFmtId="166" fontId="7" fillId="23" borderId="1" xfId="1" applyNumberFormat="1" applyFont="1" applyFill="1" applyBorder="1" applyAlignment="1">
      <alignment horizontal="center" vertical="center" wrapText="1"/>
    </xf>
    <xf numFmtId="14" fontId="7" fillId="23" borderId="0" xfId="1" applyNumberFormat="1" applyFont="1" applyFill="1" applyAlignment="1">
      <alignment horizontal="center" vertical="center" wrapText="1"/>
    </xf>
    <xf numFmtId="0" fontId="16" fillId="0" borderId="6" xfId="0" applyFont="1" applyBorder="1"/>
    <xf numFmtId="0" fontId="0" fillId="14" borderId="0" xfId="0" applyFill="1"/>
    <xf numFmtId="0" fontId="0" fillId="8" borderId="0" xfId="0" applyFill="1"/>
    <xf numFmtId="4" fontId="0" fillId="0" borderId="0" xfId="0" applyNumberFormat="1"/>
    <xf numFmtId="4" fontId="37" fillId="0" borderId="0" xfId="0" applyNumberFormat="1" applyFont="1"/>
    <xf numFmtId="0" fontId="0" fillId="24" borderId="0" xfId="0" applyFill="1"/>
    <xf numFmtId="14" fontId="4" fillId="0" borderId="0" xfId="0" applyNumberFormat="1" applyFont="1" applyAlignment="1">
      <alignment vertical="center"/>
    </xf>
    <xf numFmtId="14" fontId="6" fillId="9" borderId="1" xfId="0" applyNumberFormat="1" applyFont="1" applyFill="1" applyBorder="1" applyAlignment="1">
      <alignment horizontal="center" vertical="center" wrapText="1"/>
    </xf>
    <xf numFmtId="14" fontId="0" fillId="10" borderId="0" xfId="0" applyNumberFormat="1" applyFill="1"/>
    <xf numFmtId="14" fontId="0" fillId="0" borderId="0" xfId="0" applyNumberFormat="1"/>
    <xf numFmtId="4" fontId="40" fillId="0" borderId="0" xfId="0" applyNumberFormat="1" applyFont="1"/>
    <xf numFmtId="167" fontId="4" fillId="0" borderId="0" xfId="0" applyNumberFormat="1" applyFont="1" applyAlignment="1">
      <alignment vertical="center"/>
    </xf>
    <xf numFmtId="167" fontId="0" fillId="10" borderId="0" xfId="0" applyNumberFormat="1" applyFill="1"/>
    <xf numFmtId="167" fontId="6" fillId="17" borderId="1" xfId="0" applyNumberFormat="1" applyFont="1" applyFill="1" applyBorder="1" applyAlignment="1">
      <alignment horizontal="center" vertical="center" wrapText="1"/>
    </xf>
    <xf numFmtId="167" fontId="7" fillId="23" borderId="1" xfId="1" applyNumberFormat="1" applyFont="1" applyFill="1" applyBorder="1" applyAlignment="1">
      <alignment horizontal="center" vertical="center" wrapText="1"/>
    </xf>
    <xf numFmtId="14" fontId="6" fillId="7" borderId="1" xfId="0" applyNumberFormat="1" applyFont="1" applyFill="1" applyBorder="1" applyAlignment="1">
      <alignment horizontal="center" vertical="center" wrapText="1"/>
    </xf>
    <xf numFmtId="168" fontId="0" fillId="0" borderId="0" xfId="0" applyNumberFormat="1"/>
    <xf numFmtId="164" fontId="7" fillId="0" borderId="1" xfId="1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horizontal="left"/>
    </xf>
    <xf numFmtId="0" fontId="6" fillId="6" borderId="2" xfId="0" applyFont="1" applyFill="1" applyBorder="1" applyAlignment="1">
      <alignment horizontal="left" vertical="center" wrapText="1"/>
    </xf>
    <xf numFmtId="49" fontId="7" fillId="26" borderId="1" xfId="0" applyNumberFormat="1" applyFont="1" applyFill="1" applyBorder="1" applyAlignment="1">
      <alignment horizontal="left" vertical="center" wrapText="1"/>
    </xf>
    <xf numFmtId="49" fontId="7" fillId="23" borderId="1" xfId="0" applyNumberFormat="1" applyFont="1" applyFill="1" applyBorder="1" applyAlignment="1">
      <alignment horizontal="left" vertical="center" wrapText="1"/>
    </xf>
    <xf numFmtId="49" fontId="10" fillId="10" borderId="1" xfId="0" applyNumberFormat="1" applyFont="1" applyFill="1" applyBorder="1" applyAlignment="1">
      <alignment horizontal="left" vertical="center" wrapText="1"/>
    </xf>
    <xf numFmtId="49" fontId="7" fillId="0" borderId="1" xfId="0" applyNumberFormat="1" applyFont="1" applyBorder="1" applyAlignment="1">
      <alignment horizontal="left" vertical="center" wrapText="1"/>
    </xf>
    <xf numFmtId="49" fontId="14" fillId="10" borderId="1" xfId="0" applyNumberFormat="1" applyFont="1" applyFill="1" applyBorder="1" applyAlignment="1">
      <alignment horizontal="left" vertical="center" wrapText="1"/>
    </xf>
    <xf numFmtId="0" fontId="6" fillId="16" borderId="11" xfId="0" applyFont="1" applyFill="1" applyBorder="1" applyAlignment="1">
      <alignment horizontal="center" vertical="center" wrapText="1"/>
    </xf>
    <xf numFmtId="0" fontId="0" fillId="0" borderId="12" xfId="0" applyBorder="1"/>
    <xf numFmtId="14" fontId="45" fillId="0" borderId="1" xfId="4" applyNumberFormat="1" applyFont="1" applyFill="1" applyBorder="1" applyAlignment="1">
      <alignment horizontal="center" vertical="center" wrapText="1"/>
    </xf>
    <xf numFmtId="1" fontId="45" fillId="0" borderId="1" xfId="4" applyNumberFormat="1" applyFont="1" applyFill="1" applyBorder="1" applyAlignment="1">
      <alignment horizontal="center" vertical="center" wrapText="1"/>
    </xf>
    <xf numFmtId="166" fontId="45" fillId="0" borderId="1" xfId="4" applyNumberFormat="1" applyFont="1" applyFill="1" applyBorder="1" applyAlignment="1">
      <alignment horizontal="center" vertical="center" wrapText="1"/>
    </xf>
    <xf numFmtId="0" fontId="2" fillId="26" borderId="0" xfId="0" applyFont="1" applyFill="1" applyAlignment="1">
      <alignment horizontal="left" vertical="center"/>
    </xf>
    <xf numFmtId="0" fontId="2" fillId="26" borderId="0" xfId="0" applyFont="1" applyFill="1" applyAlignment="1">
      <alignment vertical="center"/>
    </xf>
    <xf numFmtId="0" fontId="2" fillId="26" borderId="0" xfId="0" applyFont="1" applyFill="1" applyAlignment="1">
      <alignment horizontal="left" vertical="center" wrapText="1"/>
    </xf>
    <xf numFmtId="0" fontId="42" fillId="0" borderId="0" xfId="0" applyFont="1"/>
    <xf numFmtId="49" fontId="10" fillId="10" borderId="2" xfId="0" applyNumberFormat="1" applyFont="1" applyFill="1" applyBorder="1" applyAlignment="1">
      <alignment horizontal="left" vertical="center" wrapText="1"/>
    </xf>
    <xf numFmtId="164" fontId="44" fillId="0" borderId="1" xfId="1" applyNumberFormat="1" applyFont="1" applyBorder="1" applyAlignment="1">
      <alignment horizontal="center" vertical="center" wrapText="1"/>
    </xf>
    <xf numFmtId="164" fontId="7" fillId="23" borderId="1" xfId="1" applyNumberFormat="1" applyFont="1" applyFill="1" applyBorder="1" applyAlignment="1">
      <alignment horizontal="center" vertical="center" wrapText="1"/>
    </xf>
    <xf numFmtId="0" fontId="0" fillId="0" borderId="1" xfId="0" applyBorder="1"/>
    <xf numFmtId="14" fontId="40" fillId="0" borderId="1" xfId="0" applyNumberFormat="1" applyFont="1" applyBorder="1" applyAlignment="1">
      <alignment vertical="center"/>
    </xf>
    <xf numFmtId="0" fontId="39" fillId="0" borderId="1" xfId="0" applyFont="1" applyBorder="1"/>
    <xf numFmtId="49" fontId="14" fillId="10" borderId="2" xfId="0" applyNumberFormat="1" applyFont="1" applyFill="1" applyBorder="1" applyAlignment="1">
      <alignment horizontal="left" vertical="center" wrapText="1"/>
    </xf>
    <xf numFmtId="14" fontId="0" fillId="0" borderId="1" xfId="0" applyNumberFormat="1" applyBorder="1"/>
    <xf numFmtId="49" fontId="46" fillId="26" borderId="1" xfId="4" applyNumberFormat="1" applyFont="1" applyFill="1" applyBorder="1" applyAlignment="1">
      <alignment horizontal="left" vertical="center" wrapText="1"/>
    </xf>
    <xf numFmtId="0" fontId="13" fillId="26" borderId="1" xfId="0" applyFont="1" applyFill="1" applyBorder="1" applyAlignment="1">
      <alignment horizontal="left"/>
    </xf>
    <xf numFmtId="0" fontId="41" fillId="0" borderId="0" xfId="0" applyFont="1"/>
    <xf numFmtId="0" fontId="2" fillId="24" borderId="0" xfId="0" applyFont="1" applyFill="1" applyAlignment="1">
      <alignment horizontal="left" vertical="center"/>
    </xf>
    <xf numFmtId="0" fontId="2" fillId="24" borderId="0" xfId="0" applyFont="1" applyFill="1" applyAlignment="1">
      <alignment vertical="center"/>
    </xf>
    <xf numFmtId="1" fontId="3" fillId="24" borderId="0" xfId="0" applyNumberFormat="1" applyFont="1" applyFill="1" applyAlignment="1">
      <alignment vertical="center"/>
    </xf>
    <xf numFmtId="49" fontId="10" fillId="10" borderId="2" xfId="0" applyNumberFormat="1" applyFont="1" applyFill="1" applyBorder="1" applyAlignment="1">
      <alignment horizontal="left" vertical="center" wrapText="1" indent="1"/>
    </xf>
    <xf numFmtId="49" fontId="7" fillId="26" borderId="1" xfId="0" applyNumberFormat="1" applyFont="1" applyFill="1" applyBorder="1" applyAlignment="1">
      <alignment horizontal="left" vertical="center" wrapText="1" indent="1"/>
    </xf>
    <xf numFmtId="0" fontId="38" fillId="0" borderId="0" xfId="0" applyFont="1"/>
    <xf numFmtId="0" fontId="13" fillId="26" borderId="1" xfId="0" applyFont="1" applyFill="1" applyBorder="1"/>
    <xf numFmtId="0" fontId="47" fillId="0" borderId="0" xfId="0" applyFont="1" applyAlignment="1">
      <alignment vertical="center"/>
    </xf>
    <xf numFmtId="0" fontId="47" fillId="0" borderId="0" xfId="0" applyFont="1" applyAlignment="1">
      <alignment vertical="center" wrapText="1"/>
    </xf>
    <xf numFmtId="14" fontId="47" fillId="0" borderId="0" xfId="0" applyNumberFormat="1" applyFont="1"/>
    <xf numFmtId="1" fontId="47" fillId="0" borderId="0" xfId="0" applyNumberFormat="1" applyFont="1"/>
    <xf numFmtId="49" fontId="47" fillId="0" borderId="0" xfId="0" applyNumberFormat="1" applyFont="1"/>
    <xf numFmtId="49" fontId="47" fillId="0" borderId="0" xfId="0" applyNumberFormat="1" applyFont="1" applyAlignment="1">
      <alignment wrapText="1"/>
    </xf>
    <xf numFmtId="0" fontId="47" fillId="0" borderId="0" xfId="0" applyFont="1"/>
    <xf numFmtId="0" fontId="51" fillId="0" borderId="0" xfId="0" applyFont="1" applyAlignment="1">
      <alignment vertical="center"/>
    </xf>
    <xf numFmtId="14" fontId="51" fillId="0" borderId="0" xfId="0" applyNumberFormat="1" applyFont="1" applyAlignment="1">
      <alignment vertical="center"/>
    </xf>
    <xf numFmtId="1" fontId="52" fillId="0" borderId="0" xfId="0" applyNumberFormat="1" applyFont="1" applyAlignment="1">
      <alignment horizontal="center" vertical="center"/>
    </xf>
    <xf numFmtId="0" fontId="54" fillId="6" borderId="2" xfId="0" applyFont="1" applyFill="1" applyBorder="1" applyAlignment="1">
      <alignment horizontal="center" vertical="center" wrapText="1"/>
    </xf>
    <xf numFmtId="14" fontId="54" fillId="6" borderId="1" xfId="0" applyNumberFormat="1" applyFont="1" applyFill="1" applyBorder="1" applyAlignment="1">
      <alignment horizontal="center" vertical="center" wrapText="1"/>
    </xf>
    <xf numFmtId="1" fontId="54" fillId="2" borderId="1" xfId="0" applyNumberFormat="1" applyFont="1" applyFill="1" applyBorder="1" applyAlignment="1">
      <alignment horizontal="center" vertical="center" wrapText="1"/>
    </xf>
    <xf numFmtId="0" fontId="54" fillId="15" borderId="5" xfId="3" applyFont="1" applyFill="1" applyBorder="1" applyAlignment="1">
      <alignment horizontal="center" vertical="center" wrapText="1"/>
    </xf>
    <xf numFmtId="0" fontId="47" fillId="7" borderId="0" xfId="3" applyFont="1" applyFill="1" applyAlignment="1">
      <alignment horizontal="center" vertical="center"/>
    </xf>
    <xf numFmtId="0" fontId="56" fillId="0" borderId="0" xfId="3" applyFont="1" applyAlignment="1">
      <alignment vertical="center"/>
    </xf>
    <xf numFmtId="14" fontId="47" fillId="13" borderId="1" xfId="1" applyNumberFormat="1" applyFont="1" applyFill="1" applyBorder="1" applyAlignment="1">
      <alignment horizontal="center" vertical="center" wrapText="1"/>
    </xf>
    <xf numFmtId="1" fontId="47" fillId="13" borderId="1" xfId="1" applyNumberFormat="1" applyFont="1" applyFill="1" applyBorder="1" applyAlignment="1">
      <alignment horizontal="center" vertical="center" wrapText="1"/>
    </xf>
    <xf numFmtId="167" fontId="50" fillId="12" borderId="1" xfId="1" applyNumberFormat="1" applyFont="1" applyFill="1" applyBorder="1" applyAlignment="1">
      <alignment horizontal="center" vertical="center" wrapText="1"/>
    </xf>
    <xf numFmtId="0" fontId="47" fillId="0" borderId="3" xfId="0" applyFont="1" applyBorder="1"/>
    <xf numFmtId="0" fontId="47" fillId="0" borderId="7" xfId="0" applyFont="1" applyBorder="1"/>
    <xf numFmtId="49" fontId="47" fillId="0" borderId="0" xfId="0" applyNumberFormat="1" applyFont="1" applyAlignment="1">
      <alignment vertical="center" wrapText="1"/>
    </xf>
    <xf numFmtId="0" fontId="47" fillId="0" borderId="8" xfId="0" applyFont="1" applyBorder="1"/>
    <xf numFmtId="0" fontId="58" fillId="0" borderId="9" xfId="0" applyFont="1" applyBorder="1"/>
    <xf numFmtId="0" fontId="58" fillId="0" borderId="6" xfId="0" applyFont="1" applyBorder="1"/>
    <xf numFmtId="0" fontId="58" fillId="0" borderId="10" xfId="0" applyFont="1" applyBorder="1"/>
    <xf numFmtId="0" fontId="47" fillId="0" borderId="10" xfId="0" applyFont="1" applyBorder="1"/>
    <xf numFmtId="0" fontId="58" fillId="0" borderId="0" xfId="0" applyFont="1"/>
    <xf numFmtId="167" fontId="48" fillId="12" borderId="1" xfId="1" applyNumberFormat="1" applyFont="1" applyFill="1" applyBorder="1" applyAlignment="1">
      <alignment horizontal="center" vertical="center" wrapText="1"/>
    </xf>
    <xf numFmtId="0" fontId="59" fillId="0" borderId="6" xfId="0" applyFont="1" applyBorder="1"/>
    <xf numFmtId="0" fontId="47" fillId="0" borderId="6" xfId="0" applyFont="1" applyBorder="1"/>
    <xf numFmtId="0" fontId="58" fillId="0" borderId="4" xfId="0" applyFont="1" applyBorder="1"/>
    <xf numFmtId="40" fontId="47" fillId="0" borderId="0" xfId="0" applyNumberFormat="1" applyFont="1" applyAlignment="1">
      <alignment vertical="center" wrapText="1"/>
    </xf>
    <xf numFmtId="40" fontId="47" fillId="0" borderId="0" xfId="0" applyNumberFormat="1" applyFont="1"/>
    <xf numFmtId="40" fontId="47" fillId="0" borderId="0" xfId="0" applyNumberFormat="1" applyFont="1" applyAlignment="1">
      <alignment wrapText="1"/>
    </xf>
    <xf numFmtId="40" fontId="57" fillId="0" borderId="18" xfId="0" applyNumberFormat="1" applyFont="1" applyBorder="1" applyAlignment="1">
      <alignment horizontal="right"/>
    </xf>
    <xf numFmtId="40" fontId="57" fillId="0" borderId="19" xfId="0" applyNumberFormat="1" applyFont="1" applyBorder="1" applyAlignment="1">
      <alignment horizontal="right"/>
    </xf>
    <xf numFmtId="40" fontId="57" fillId="13" borderId="14" xfId="0" applyNumberFormat="1" applyFont="1" applyFill="1" applyBorder="1" applyAlignment="1">
      <alignment horizontal="right"/>
    </xf>
    <xf numFmtId="40" fontId="57" fillId="13" borderId="15" xfId="0" applyNumberFormat="1" applyFont="1" applyFill="1" applyBorder="1" applyAlignment="1">
      <alignment horizontal="right"/>
    </xf>
    <xf numFmtId="40" fontId="50" fillId="13" borderId="15" xfId="0" applyNumberFormat="1" applyFont="1" applyFill="1" applyBorder="1" applyAlignment="1">
      <alignment horizontal="right"/>
    </xf>
    <xf numFmtId="40" fontId="57" fillId="13" borderId="16" xfId="0" applyNumberFormat="1" applyFont="1" applyFill="1" applyBorder="1" applyAlignment="1">
      <alignment horizontal="right"/>
    </xf>
    <xf numFmtId="40" fontId="57" fillId="13" borderId="17" xfId="0" applyNumberFormat="1" applyFont="1" applyFill="1" applyBorder="1" applyAlignment="1">
      <alignment horizontal="right"/>
    </xf>
    <xf numFmtId="0" fontId="0" fillId="0" borderId="20" xfId="0" applyBorder="1"/>
    <xf numFmtId="0" fontId="37" fillId="27" borderId="13" xfId="0" applyFont="1" applyFill="1" applyBorder="1"/>
    <xf numFmtId="0" fontId="37" fillId="27" borderId="21" xfId="0" applyFont="1" applyFill="1" applyBorder="1"/>
    <xf numFmtId="14" fontId="37" fillId="20" borderId="24" xfId="0" applyNumberFormat="1" applyFont="1" applyFill="1" applyBorder="1"/>
    <xf numFmtId="14" fontId="60" fillId="9" borderId="24" xfId="0" applyNumberFormat="1" applyFont="1" applyFill="1" applyBorder="1"/>
    <xf numFmtId="0" fontId="60" fillId="9" borderId="25" xfId="0" applyFont="1" applyFill="1" applyBorder="1"/>
    <xf numFmtId="40" fontId="60" fillId="17" borderId="24" xfId="0" applyNumberFormat="1" applyFont="1" applyFill="1" applyBorder="1"/>
    <xf numFmtId="40" fontId="60" fillId="17" borderId="25" xfId="0" applyNumberFormat="1" applyFont="1" applyFill="1" applyBorder="1"/>
    <xf numFmtId="40" fontId="0" fillId="0" borderId="29" xfId="0" applyNumberFormat="1" applyBorder="1" applyAlignment="1">
      <alignment horizontal="center"/>
    </xf>
    <xf numFmtId="14" fontId="47" fillId="29" borderId="1" xfId="1" applyNumberFormat="1" applyFont="1" applyFill="1" applyBorder="1" applyAlignment="1">
      <alignment horizontal="center" vertical="center" wrapText="1"/>
    </xf>
    <xf numFmtId="1" fontId="47" fillId="29" borderId="1" xfId="1" applyNumberFormat="1" applyFont="1" applyFill="1" applyBorder="1" applyAlignment="1">
      <alignment horizontal="center" vertical="center" wrapText="1"/>
    </xf>
    <xf numFmtId="0" fontId="47" fillId="29" borderId="0" xfId="0" applyFont="1" applyFill="1" applyAlignment="1">
      <alignment vertical="center" wrapText="1"/>
    </xf>
    <xf numFmtId="0" fontId="47" fillId="29" borderId="0" xfId="0" applyFont="1" applyFill="1"/>
    <xf numFmtId="0" fontId="0" fillId="29" borderId="0" xfId="0" applyFill="1"/>
    <xf numFmtId="0" fontId="0" fillId="29" borderId="0" xfId="0" applyFill="1" applyAlignment="1">
      <alignment horizontal="left"/>
    </xf>
    <xf numFmtId="14" fontId="0" fillId="29" borderId="0" xfId="0" applyNumberFormat="1" applyFill="1"/>
    <xf numFmtId="167" fontId="0" fillId="29" borderId="0" xfId="0" applyNumberFormat="1" applyFill="1"/>
    <xf numFmtId="40" fontId="50" fillId="0" borderId="0" xfId="0" applyNumberFormat="1" applyFont="1" applyAlignment="1">
      <alignment horizontal="right"/>
    </xf>
    <xf numFmtId="0" fontId="7" fillId="0" borderId="1" xfId="1" applyNumberFormat="1" applyFont="1" applyBorder="1" applyAlignment="1">
      <alignment horizontal="center" vertical="center" wrapText="1"/>
    </xf>
    <xf numFmtId="0" fontId="4" fillId="23" borderId="1" xfId="1" applyNumberFormat="1" applyFont="1" applyFill="1" applyBorder="1" applyAlignment="1">
      <alignment horizontal="center" vertical="center" wrapText="1"/>
    </xf>
    <xf numFmtId="0" fontId="4" fillId="23" borderId="0" xfId="1" applyNumberFormat="1" applyFont="1" applyFill="1" applyAlignment="1">
      <alignment horizontal="center" vertical="center" wrapText="1"/>
    </xf>
    <xf numFmtId="0" fontId="47" fillId="23" borderId="1" xfId="1" applyNumberFormat="1" applyFont="1" applyFill="1" applyBorder="1" applyAlignment="1">
      <alignment horizontal="center" vertical="center" wrapText="1"/>
    </xf>
    <xf numFmtId="0" fontId="40" fillId="0" borderId="1" xfId="0" applyFont="1" applyBorder="1" applyAlignment="1">
      <alignment horizontal="center" vertical="center"/>
    </xf>
    <xf numFmtId="0" fontId="7" fillId="23" borderId="1" xfId="1" applyNumberFormat="1" applyFont="1" applyFill="1" applyBorder="1" applyAlignment="1">
      <alignment horizontal="center" vertical="center" wrapText="1"/>
    </xf>
    <xf numFmtId="0" fontId="60" fillId="9" borderId="24" xfId="0" applyFont="1" applyFill="1" applyBorder="1"/>
    <xf numFmtId="0" fontId="63" fillId="0" borderId="0" xfId="0" applyFont="1"/>
    <xf numFmtId="14" fontId="62" fillId="13" borderId="1" xfId="1" applyNumberFormat="1" applyFont="1" applyFill="1" applyBorder="1" applyAlignment="1">
      <alignment horizontal="center" vertical="center" wrapText="1"/>
    </xf>
    <xf numFmtId="1" fontId="62" fillId="13" borderId="1" xfId="1" applyNumberFormat="1" applyFont="1" applyFill="1" applyBorder="1" applyAlignment="1">
      <alignment horizontal="center" vertical="center" wrapText="1"/>
    </xf>
    <xf numFmtId="0" fontId="62" fillId="0" borderId="7" xfId="0" applyFont="1" applyBorder="1"/>
    <xf numFmtId="49" fontId="62" fillId="0" borderId="0" xfId="0" applyNumberFormat="1" applyFont="1" applyAlignment="1">
      <alignment vertical="center" wrapText="1"/>
    </xf>
    <xf numFmtId="0" fontId="62" fillId="0" borderId="0" xfId="0" applyFont="1"/>
    <xf numFmtId="14" fontId="12" fillId="23" borderId="1" xfId="1" applyNumberFormat="1" applyFont="1" applyFill="1" applyBorder="1" applyAlignment="1">
      <alignment horizontal="center" vertical="center" wrapText="1"/>
    </xf>
    <xf numFmtId="49" fontId="7" fillId="24" borderId="1" xfId="0" applyNumberFormat="1" applyFont="1" applyFill="1" applyBorder="1" applyAlignment="1">
      <alignment horizontal="left" vertical="center" wrapText="1"/>
    </xf>
    <xf numFmtId="166" fontId="11" fillId="0" borderId="1" xfId="1" applyNumberFormat="1" applyFont="1" applyBorder="1" applyAlignment="1">
      <alignment horizontal="center" vertical="center" wrapText="1"/>
    </xf>
    <xf numFmtId="0" fontId="11" fillId="0" borderId="1" xfId="0" applyFont="1" applyBorder="1"/>
    <xf numFmtId="0" fontId="11" fillId="0" borderId="1" xfId="1" applyNumberFormat="1" applyFont="1" applyBorder="1" applyAlignment="1">
      <alignment horizontal="center" vertical="center" wrapText="1"/>
    </xf>
    <xf numFmtId="14" fontId="11" fillId="23" borderId="1" xfId="1" applyNumberFormat="1" applyFont="1" applyFill="1" applyBorder="1" applyAlignment="1">
      <alignment horizontal="center" vertical="center" wrapText="1"/>
    </xf>
    <xf numFmtId="1" fontId="11" fillId="23" borderId="1" xfId="1" applyNumberFormat="1" applyFont="1" applyFill="1" applyBorder="1" applyAlignment="1">
      <alignment horizontal="center" vertical="center" wrapText="1"/>
    </xf>
    <xf numFmtId="166" fontId="11" fillId="23" borderId="1" xfId="1" applyNumberFormat="1" applyFont="1" applyFill="1" applyBorder="1" applyAlignment="1">
      <alignment horizontal="center" vertical="center" wrapText="1"/>
    </xf>
    <xf numFmtId="167" fontId="11" fillId="23" borderId="1" xfId="1" applyNumberFormat="1" applyFont="1" applyFill="1" applyBorder="1" applyAlignment="1">
      <alignment horizontal="center" vertical="center" wrapText="1"/>
    </xf>
    <xf numFmtId="0" fontId="41" fillId="24" borderId="0" xfId="0" applyFont="1" applyFill="1"/>
    <xf numFmtId="4" fontId="11" fillId="0" borderId="0" xfId="0" applyNumberFormat="1" applyFont="1"/>
    <xf numFmtId="4" fontId="11" fillId="14" borderId="0" xfId="0" applyNumberFormat="1" applyFont="1" applyFill="1"/>
    <xf numFmtId="1" fontId="57" fillId="13" borderId="1" xfId="1" applyNumberFormat="1" applyFont="1" applyFill="1" applyBorder="1" applyAlignment="1">
      <alignment horizontal="center" vertical="center" wrapText="1"/>
    </xf>
    <xf numFmtId="0" fontId="63" fillId="0" borderId="6" xfId="0" applyFont="1" applyBorder="1"/>
    <xf numFmtId="0" fontId="57" fillId="0" borderId="6" xfId="0" applyFont="1" applyBorder="1"/>
    <xf numFmtId="0" fontId="2" fillId="24" borderId="0" xfId="0" applyFont="1" applyFill="1" applyAlignment="1">
      <alignment horizontal="left" vertical="center" wrapText="1"/>
    </xf>
    <xf numFmtId="0" fontId="63" fillId="0" borderId="9" xfId="0" applyFont="1" applyBorder="1"/>
    <xf numFmtId="14" fontId="11" fillId="0" borderId="0" xfId="1" applyNumberFormat="1" applyFont="1" applyAlignment="1">
      <alignment horizontal="center" vertical="center" wrapText="1"/>
    </xf>
    <xf numFmtId="1" fontId="11" fillId="0" borderId="0" xfId="1" applyNumberFormat="1" applyFont="1" applyAlignment="1">
      <alignment horizontal="center" vertical="center" wrapText="1"/>
    </xf>
    <xf numFmtId="0" fontId="11" fillId="0" borderId="0" xfId="0" applyFont="1"/>
    <xf numFmtId="167" fontId="11" fillId="0" borderId="0" xfId="1" applyNumberFormat="1" applyFont="1" applyAlignment="1">
      <alignment horizontal="center" vertical="center" wrapText="1"/>
    </xf>
    <xf numFmtId="166" fontId="11" fillId="0" borderId="0" xfId="1" applyNumberFormat="1" applyFont="1" applyAlignment="1">
      <alignment horizontal="center" vertical="center" wrapText="1"/>
    </xf>
    <xf numFmtId="0" fontId="7" fillId="0" borderId="0" xfId="1" applyNumberFormat="1" applyFont="1" applyAlignment="1">
      <alignment horizontal="center" vertical="center" wrapText="1"/>
    </xf>
    <xf numFmtId="0" fontId="9" fillId="26" borderId="1" xfId="0" applyFont="1" applyFill="1" applyBorder="1"/>
    <xf numFmtId="0" fontId="11" fillId="24" borderId="0" xfId="0" applyFont="1" applyFill="1"/>
    <xf numFmtId="0" fontId="11" fillId="0" borderId="0" xfId="1" applyNumberFormat="1" applyFont="1" applyAlignment="1">
      <alignment horizontal="center" vertical="center" wrapText="1"/>
    </xf>
    <xf numFmtId="0" fontId="63" fillId="0" borderId="10" xfId="0" applyFont="1" applyBorder="1"/>
    <xf numFmtId="0" fontId="67" fillId="0" borderId="0" xfId="0" applyFont="1"/>
    <xf numFmtId="17" fontId="0" fillId="0" borderId="0" xfId="0" applyNumberFormat="1"/>
    <xf numFmtId="49" fontId="7" fillId="24" borderId="2" xfId="0" applyNumberFormat="1" applyFont="1" applyFill="1" applyBorder="1" applyAlignment="1">
      <alignment horizontal="left" vertical="center" wrapText="1"/>
    </xf>
    <xf numFmtId="0" fontId="11" fillId="0" borderId="0" xfId="0" applyFont="1" applyAlignment="1">
      <alignment horizontal="center"/>
    </xf>
    <xf numFmtId="14" fontId="11" fillId="23" borderId="0" xfId="1" applyNumberFormat="1" applyFont="1" applyFill="1" applyAlignment="1">
      <alignment horizontal="center" vertical="center" wrapText="1"/>
    </xf>
    <xf numFmtId="1" fontId="11" fillId="23" borderId="0" xfId="1" applyNumberFormat="1" applyFont="1" applyFill="1" applyAlignment="1">
      <alignment horizontal="center" vertical="center" wrapText="1"/>
    </xf>
    <xf numFmtId="166" fontId="11" fillId="23" borderId="0" xfId="1" applyNumberFormat="1" applyFont="1" applyFill="1" applyAlignment="1">
      <alignment horizontal="center" vertical="center" wrapText="1"/>
    </xf>
    <xf numFmtId="14" fontId="11" fillId="24" borderId="1" xfId="1" applyNumberFormat="1" applyFont="1" applyFill="1" applyBorder="1" applyAlignment="1">
      <alignment horizontal="center" vertical="center" wrapText="1"/>
    </xf>
    <xf numFmtId="14" fontId="11" fillId="24" borderId="0" xfId="1" applyNumberFormat="1" applyFont="1" applyFill="1" applyAlignment="1">
      <alignment horizontal="center" vertical="center" wrapText="1"/>
    </xf>
    <xf numFmtId="0" fontId="6" fillId="30" borderId="2" xfId="0" applyFont="1" applyFill="1" applyBorder="1" applyAlignment="1">
      <alignment horizontal="left" vertical="center" wrapText="1"/>
    </xf>
    <xf numFmtId="40" fontId="4" fillId="0" borderId="0" xfId="0" applyNumberFormat="1" applyFont="1" applyAlignment="1">
      <alignment vertical="center"/>
    </xf>
    <xf numFmtId="40" fontId="6" fillId="7" borderId="1" xfId="0" applyNumberFormat="1" applyFont="1" applyFill="1" applyBorder="1" applyAlignment="1">
      <alignment horizontal="center" vertical="center" wrapText="1"/>
    </xf>
    <xf numFmtId="40" fontId="15" fillId="0" borderId="1" xfId="0" applyNumberFormat="1" applyFont="1" applyBorder="1"/>
    <xf numFmtId="40" fontId="7" fillId="23" borderId="1" xfId="1" applyNumberFormat="1" applyFont="1" applyFill="1" applyBorder="1" applyAlignment="1">
      <alignment horizontal="center" vertical="center" wrapText="1"/>
    </xf>
    <xf numFmtId="40" fontId="7" fillId="10" borderId="2" xfId="1" applyNumberFormat="1" applyFont="1" applyFill="1" applyBorder="1" applyAlignment="1">
      <alignment horizontal="center" vertical="center" wrapText="1"/>
    </xf>
    <xf numFmtId="40" fontId="15" fillId="0" borderId="0" xfId="0" applyNumberFormat="1" applyFont="1"/>
    <xf numFmtId="40" fontId="7" fillId="10" borderId="1" xfId="1" applyNumberFormat="1" applyFont="1" applyFill="1" applyBorder="1" applyAlignment="1">
      <alignment horizontal="center" vertical="center" wrapText="1"/>
    </xf>
    <xf numFmtId="40" fontId="7" fillId="0" borderId="1" xfId="1" applyNumberFormat="1" applyFont="1" applyBorder="1" applyAlignment="1">
      <alignment horizontal="center" vertical="center" wrapText="1"/>
    </xf>
    <xf numFmtId="40" fontId="9" fillId="23" borderId="1" xfId="1" applyNumberFormat="1" applyFont="1" applyFill="1" applyBorder="1" applyAlignment="1">
      <alignment horizontal="center" vertical="center" wrapText="1"/>
    </xf>
    <xf numFmtId="40" fontId="0" fillId="0" borderId="0" xfId="0" applyNumberFormat="1"/>
    <xf numFmtId="40" fontId="11" fillId="0" borderId="1" xfId="0" applyNumberFormat="1" applyFont="1" applyBorder="1"/>
    <xf numFmtId="40" fontId="11" fillId="23" borderId="1" xfId="1" applyNumberFormat="1" applyFont="1" applyFill="1" applyBorder="1" applyAlignment="1">
      <alignment horizontal="right" vertical="center" wrapText="1"/>
    </xf>
    <xf numFmtId="40" fontId="11" fillId="0" borderId="1" xfId="0" applyNumberFormat="1" applyFont="1" applyBorder="1" applyAlignment="1">
      <alignment horizontal="right"/>
    </xf>
    <xf numFmtId="40" fontId="0" fillId="0" borderId="0" xfId="0" applyNumberFormat="1" applyAlignment="1">
      <alignment horizontal="right"/>
    </xf>
    <xf numFmtId="40" fontId="68" fillId="0" borderId="0" xfId="0" applyNumberFormat="1" applyFont="1" applyAlignment="1">
      <alignment horizontal="right"/>
    </xf>
    <xf numFmtId="40" fontId="11" fillId="0" borderId="0" xfId="0" applyNumberFormat="1" applyFont="1"/>
    <xf numFmtId="40" fontId="11" fillId="0" borderId="2" xfId="0" applyNumberFormat="1" applyFont="1" applyBorder="1"/>
    <xf numFmtId="40" fontId="11" fillId="24" borderId="0" xfId="0" applyNumberFormat="1" applyFont="1" applyFill="1"/>
    <xf numFmtId="40" fontId="11" fillId="23" borderId="2" xfId="1" applyNumberFormat="1" applyFont="1" applyFill="1" applyBorder="1" applyAlignment="1">
      <alignment horizontal="right" vertical="center" wrapText="1"/>
    </xf>
    <xf numFmtId="40" fontId="0" fillId="29" borderId="0" xfId="0" applyNumberFormat="1" applyFill="1"/>
    <xf numFmtId="40" fontId="37" fillId="20" borderId="25" xfId="0" applyNumberFormat="1" applyFont="1" applyFill="1" applyBorder="1"/>
    <xf numFmtId="40" fontId="6" fillId="9" borderId="1" xfId="0" applyNumberFormat="1" applyFont="1" applyFill="1" applyBorder="1" applyAlignment="1">
      <alignment horizontal="center" vertical="center" wrapText="1"/>
    </xf>
    <xf numFmtId="40" fontId="0" fillId="10" borderId="0" xfId="0" applyNumberFormat="1" applyFill="1"/>
    <xf numFmtId="40" fontId="11" fillId="0" borderId="1" xfId="1" applyNumberFormat="1" applyFont="1" applyBorder="1" applyAlignment="1">
      <alignment horizontal="center" vertical="center" wrapText="1"/>
    </xf>
    <xf numFmtId="40" fontId="11" fillId="0" borderId="1" xfId="1" applyNumberFormat="1" applyFont="1" applyBorder="1" applyAlignment="1">
      <alignment horizontal="right" vertical="center" wrapText="1"/>
    </xf>
    <xf numFmtId="40" fontId="11" fillId="0" borderId="0" xfId="1" applyNumberFormat="1" applyFont="1" applyAlignment="1">
      <alignment horizontal="center" vertical="center" wrapText="1"/>
    </xf>
    <xf numFmtId="40" fontId="60" fillId="9" borderId="25" xfId="0" applyNumberFormat="1" applyFont="1" applyFill="1" applyBorder="1"/>
    <xf numFmtId="40" fontId="37" fillId="0" borderId="0" xfId="0" applyNumberFormat="1" applyFont="1" applyAlignment="1">
      <alignment horizontal="right"/>
    </xf>
    <xf numFmtId="49" fontId="7" fillId="0" borderId="2" xfId="0" applyNumberFormat="1" applyFont="1" applyBorder="1" applyAlignment="1">
      <alignment horizontal="left" vertical="center" wrapText="1"/>
    </xf>
    <xf numFmtId="40" fontId="11" fillId="23" borderId="0" xfId="1" applyNumberFormat="1" applyFont="1" applyFill="1" applyAlignment="1">
      <alignment horizontal="right" vertical="center" wrapText="1"/>
    </xf>
    <xf numFmtId="40" fontId="0" fillId="14" borderId="0" xfId="0" applyNumberFormat="1" applyFill="1" applyAlignment="1">
      <alignment horizontal="right"/>
    </xf>
    <xf numFmtId="0" fontId="0" fillId="14" borderId="0" xfId="0" applyFill="1" applyAlignment="1">
      <alignment horizontal="center"/>
    </xf>
    <xf numFmtId="167" fontId="48" fillId="0" borderId="0" xfId="0" applyNumberFormat="1" applyFont="1" applyAlignment="1">
      <alignment horizontal="right" vertical="center"/>
    </xf>
    <xf numFmtId="0" fontId="53" fillId="0" borderId="0" xfId="0" applyFont="1" applyAlignment="1">
      <alignment horizontal="right" vertical="center"/>
    </xf>
    <xf numFmtId="164" fontId="52" fillId="0" borderId="0" xfId="0" applyNumberFormat="1" applyFont="1" applyAlignment="1">
      <alignment horizontal="right" vertical="center"/>
    </xf>
    <xf numFmtId="167" fontId="48" fillId="8" borderId="1" xfId="0" applyNumberFormat="1" applyFont="1" applyFill="1" applyBorder="1" applyAlignment="1">
      <alignment horizontal="right" vertical="center" wrapText="1"/>
    </xf>
    <xf numFmtId="167" fontId="55" fillId="9" borderId="1" xfId="0" applyNumberFormat="1" applyFont="1" applyFill="1" applyBorder="1" applyAlignment="1">
      <alignment horizontal="right" vertical="center" wrapText="1"/>
    </xf>
    <xf numFmtId="164" fontId="54" fillId="5" borderId="1" xfId="0" applyNumberFormat="1" applyFont="1" applyFill="1" applyBorder="1" applyAlignment="1">
      <alignment horizontal="right" vertical="center" wrapText="1"/>
    </xf>
    <xf numFmtId="167" fontId="48" fillId="4" borderId="1" xfId="0" applyNumberFormat="1" applyFont="1" applyFill="1" applyBorder="1" applyAlignment="1">
      <alignment horizontal="right" vertical="center" wrapText="1"/>
    </xf>
    <xf numFmtId="167" fontId="50" fillId="4" borderId="1" xfId="0" applyNumberFormat="1" applyFont="1" applyFill="1" applyBorder="1" applyAlignment="1">
      <alignment horizontal="right" vertical="center" wrapText="1"/>
    </xf>
    <xf numFmtId="167" fontId="48" fillId="0" borderId="1" xfId="1" applyNumberFormat="1" applyFont="1" applyBorder="1" applyAlignment="1">
      <alignment horizontal="right" vertical="center" wrapText="1"/>
    </xf>
    <xf numFmtId="4" fontId="50" fillId="0" borderId="1" xfId="1" applyNumberFormat="1" applyFont="1" applyBorder="1" applyAlignment="1">
      <alignment horizontal="right" vertical="center" wrapText="1"/>
    </xf>
    <xf numFmtId="164" fontId="57" fillId="0" borderId="1" xfId="1" applyNumberFormat="1" applyFont="1" applyBorder="1" applyAlignment="1">
      <alignment horizontal="right" vertical="center" wrapText="1"/>
    </xf>
    <xf numFmtId="40" fontId="57" fillId="0" borderId="0" xfId="0" applyNumberFormat="1" applyFont="1" applyAlignment="1">
      <alignment horizontal="right"/>
    </xf>
    <xf numFmtId="40" fontId="47" fillId="0" borderId="0" xfId="0" applyNumberFormat="1" applyFont="1" applyAlignment="1">
      <alignment horizontal="right"/>
    </xf>
    <xf numFmtId="40" fontId="57" fillId="0" borderId="36" xfId="0" applyNumberFormat="1" applyFont="1" applyBorder="1" applyAlignment="1">
      <alignment horizontal="right"/>
    </xf>
    <xf numFmtId="40" fontId="47" fillId="0" borderId="33" xfId="0" applyNumberFormat="1" applyFont="1" applyBorder="1" applyAlignment="1">
      <alignment horizontal="right"/>
    </xf>
    <xf numFmtId="40" fontId="57" fillId="0" borderId="38" xfId="0" applyNumberFormat="1" applyFont="1" applyBorder="1" applyAlignment="1">
      <alignment horizontal="right"/>
    </xf>
    <xf numFmtId="40" fontId="49" fillId="0" borderId="40" xfId="0" applyNumberFormat="1" applyFont="1" applyBorder="1" applyAlignment="1">
      <alignment horizontal="right"/>
    </xf>
    <xf numFmtId="167" fontId="48" fillId="0" borderId="0" xfId="0" applyNumberFormat="1" applyFont="1" applyAlignment="1">
      <alignment horizontal="right"/>
    </xf>
    <xf numFmtId="167" fontId="50" fillId="0" borderId="0" xfId="0" applyNumberFormat="1" applyFont="1" applyAlignment="1">
      <alignment horizontal="right"/>
    </xf>
    <xf numFmtId="164" fontId="47" fillId="0" borderId="0" xfId="0" applyNumberFormat="1" applyFont="1" applyAlignment="1">
      <alignment horizontal="right"/>
    </xf>
    <xf numFmtId="49" fontId="47" fillId="12" borderId="1" xfId="0" applyNumberFormat="1" applyFont="1" applyFill="1" applyBorder="1" applyAlignment="1">
      <alignment horizontal="center" vertical="top" wrapText="1"/>
    </xf>
    <xf numFmtId="49" fontId="47" fillId="14" borderId="1" xfId="0" applyNumberFormat="1" applyFont="1" applyFill="1" applyBorder="1" applyAlignment="1">
      <alignment horizontal="center" vertical="top" wrapText="1"/>
    </xf>
    <xf numFmtId="49" fontId="47" fillId="7" borderId="1" xfId="0" applyNumberFormat="1" applyFont="1" applyFill="1" applyBorder="1" applyAlignment="1">
      <alignment horizontal="center" vertical="top" wrapText="1"/>
    </xf>
    <xf numFmtId="49" fontId="62" fillId="12" borderId="1" xfId="0" applyNumberFormat="1" applyFont="1" applyFill="1" applyBorder="1" applyAlignment="1">
      <alignment horizontal="center" vertical="top" wrapText="1"/>
    </xf>
    <xf numFmtId="49" fontId="62" fillId="14" borderId="1" xfId="0" applyNumberFormat="1" applyFont="1" applyFill="1" applyBorder="1" applyAlignment="1">
      <alignment horizontal="center" vertical="top" wrapText="1"/>
    </xf>
    <xf numFmtId="49" fontId="62" fillId="7" borderId="1" xfId="0" applyNumberFormat="1" applyFont="1" applyFill="1" applyBorder="1" applyAlignment="1">
      <alignment horizontal="center" vertical="top" wrapText="1"/>
    </xf>
    <xf numFmtId="49" fontId="47" fillId="29" borderId="1" xfId="1" applyNumberFormat="1" applyFont="1" applyFill="1" applyBorder="1" applyAlignment="1">
      <alignment horizontal="center" vertical="top" wrapText="1"/>
    </xf>
    <xf numFmtId="169" fontId="57" fillId="12" borderId="1" xfId="1" applyNumberFormat="1" applyFont="1" applyFill="1" applyBorder="1" applyAlignment="1">
      <alignment horizontal="right" vertical="center" wrapText="1"/>
    </xf>
    <xf numFmtId="169" fontId="50" fillId="12" borderId="1" xfId="1" applyNumberFormat="1" applyFont="1" applyFill="1" applyBorder="1" applyAlignment="1">
      <alignment horizontal="right" vertical="center" wrapText="1"/>
    </xf>
    <xf numFmtId="169" fontId="48" fillId="12" borderId="1" xfId="1" applyNumberFormat="1" applyFont="1" applyFill="1" applyBorder="1" applyAlignment="1">
      <alignment horizontal="right" vertical="center" wrapText="1"/>
    </xf>
    <xf numFmtId="169" fontId="61" fillId="12" borderId="1" xfId="1" applyNumberFormat="1" applyFont="1" applyFill="1" applyBorder="1" applyAlignment="1">
      <alignment horizontal="right" vertical="center" wrapText="1"/>
    </xf>
    <xf numFmtId="169" fontId="47" fillId="12" borderId="1" xfId="1" applyNumberFormat="1" applyFont="1" applyFill="1" applyBorder="1" applyAlignment="1">
      <alignment horizontal="right" vertical="center" wrapText="1"/>
    </xf>
    <xf numFmtId="169" fontId="50" fillId="12" borderId="1" xfId="0" applyNumberFormat="1" applyFont="1" applyFill="1" applyBorder="1" applyAlignment="1">
      <alignment horizontal="right" vertical="center" wrapText="1"/>
    </xf>
    <xf numFmtId="169" fontId="50" fillId="13" borderId="1" xfId="1" applyNumberFormat="1" applyFont="1" applyFill="1" applyBorder="1" applyAlignment="1">
      <alignment horizontal="right" vertical="center" wrapText="1"/>
    </xf>
    <xf numFmtId="169" fontId="65" fillId="12" borderId="1" xfId="1" applyNumberFormat="1" applyFont="1" applyFill="1" applyBorder="1" applyAlignment="1">
      <alignment horizontal="right" vertical="center" wrapText="1"/>
    </xf>
    <xf numFmtId="169" fontId="64" fillId="12" borderId="1" xfId="1" applyNumberFormat="1" applyFont="1" applyFill="1" applyBorder="1" applyAlignment="1">
      <alignment horizontal="right" vertical="center" wrapText="1"/>
    </xf>
    <xf numFmtId="169" fontId="61" fillId="12" borderId="1" xfId="0" applyNumberFormat="1" applyFont="1" applyFill="1" applyBorder="1" applyAlignment="1">
      <alignment horizontal="right" vertical="center" wrapText="1"/>
    </xf>
    <xf numFmtId="169" fontId="57" fillId="12" borderId="1" xfId="0" applyNumberFormat="1" applyFont="1" applyFill="1" applyBorder="1" applyAlignment="1">
      <alignment horizontal="right" vertical="center" wrapText="1"/>
    </xf>
    <xf numFmtId="169" fontId="66" fillId="12" borderId="1" xfId="1" applyNumberFormat="1" applyFont="1" applyFill="1" applyBorder="1" applyAlignment="1">
      <alignment horizontal="right" vertical="center" wrapText="1"/>
    </xf>
    <xf numFmtId="169" fontId="64" fillId="12" borderId="1" xfId="0" applyNumberFormat="1" applyFont="1" applyFill="1" applyBorder="1" applyAlignment="1">
      <alignment horizontal="right" vertical="center" wrapText="1"/>
    </xf>
    <xf numFmtId="169" fontId="64" fillId="13" borderId="1" xfId="1" applyNumberFormat="1" applyFont="1" applyFill="1" applyBorder="1" applyAlignment="1">
      <alignment horizontal="right" vertical="center" wrapText="1"/>
    </xf>
    <xf numFmtId="169" fontId="65" fillId="12" borderId="1" xfId="0" applyNumberFormat="1" applyFont="1" applyFill="1" applyBorder="1" applyAlignment="1">
      <alignment horizontal="right" vertical="center" wrapText="1"/>
    </xf>
    <xf numFmtId="169" fontId="57" fillId="29" borderId="1" xfId="1" applyNumberFormat="1" applyFont="1" applyFill="1" applyBorder="1" applyAlignment="1">
      <alignment horizontal="right" vertical="center" wrapText="1"/>
    </xf>
    <xf numFmtId="169" fontId="50" fillId="29" borderId="1" xfId="1" applyNumberFormat="1" applyFont="1" applyFill="1" applyBorder="1" applyAlignment="1">
      <alignment horizontal="right" vertical="center" wrapText="1"/>
    </xf>
    <xf numFmtId="169" fontId="47" fillId="29" borderId="1" xfId="1" applyNumberFormat="1" applyFont="1" applyFill="1" applyBorder="1" applyAlignment="1">
      <alignment horizontal="right" vertical="center" wrapText="1"/>
    </xf>
    <xf numFmtId="6" fontId="63" fillId="0" borderId="6" xfId="0" applyNumberFormat="1" applyFont="1" applyBorder="1"/>
    <xf numFmtId="4" fontId="11" fillId="12" borderId="0" xfId="0" applyNumberFormat="1" applyFont="1" applyFill="1"/>
    <xf numFmtId="0" fontId="6" fillId="7" borderId="22" xfId="0" applyFont="1" applyFill="1" applyBorder="1" applyAlignment="1">
      <alignment horizontal="center" vertical="center" wrapText="1"/>
    </xf>
    <xf numFmtId="0" fontId="6" fillId="7" borderId="23" xfId="0" applyFont="1" applyFill="1" applyBorder="1" applyAlignment="1">
      <alignment horizontal="center" vertical="center" wrapText="1"/>
    </xf>
    <xf numFmtId="0" fontId="6" fillId="9" borderId="26" xfId="0" applyFont="1" applyFill="1" applyBorder="1" applyAlignment="1">
      <alignment horizontal="center" vertical="center" wrapText="1"/>
    </xf>
    <xf numFmtId="0" fontId="6" fillId="9" borderId="27" xfId="0" applyFont="1" applyFill="1" applyBorder="1" applyAlignment="1">
      <alignment horizontal="center" vertical="center" wrapText="1"/>
    </xf>
    <xf numFmtId="0" fontId="6" fillId="9" borderId="28" xfId="0" applyFont="1" applyFill="1" applyBorder="1" applyAlignment="1">
      <alignment horizontal="center" vertical="center" wrapText="1"/>
    </xf>
    <xf numFmtId="0" fontId="2" fillId="24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6" fillId="17" borderId="26" xfId="0" applyFont="1" applyFill="1" applyBorder="1" applyAlignment="1">
      <alignment horizontal="center" vertical="center" wrapText="1"/>
    </xf>
    <xf numFmtId="0" fontId="6" fillId="17" borderId="32" xfId="0" applyFont="1" applyFill="1" applyBorder="1" applyAlignment="1">
      <alignment horizontal="center" vertical="center" wrapText="1"/>
    </xf>
    <xf numFmtId="40" fontId="0" fillId="0" borderId="29" xfId="0" applyNumberFormat="1" applyBorder="1" applyAlignment="1">
      <alignment horizontal="right"/>
    </xf>
    <xf numFmtId="40" fontId="0" fillId="0" borderId="31" xfId="0" applyNumberFormat="1" applyBorder="1" applyAlignment="1">
      <alignment horizontal="right"/>
    </xf>
    <xf numFmtId="0" fontId="0" fillId="0" borderId="30" xfId="0" applyBorder="1" applyAlignment="1">
      <alignment horizontal="right"/>
    </xf>
    <xf numFmtId="0" fontId="0" fillId="0" borderId="31" xfId="0" applyBorder="1" applyAlignment="1">
      <alignment horizontal="right"/>
    </xf>
    <xf numFmtId="0" fontId="0" fillId="0" borderId="0" xfId="0" applyAlignment="1">
      <alignment horizontal="center"/>
    </xf>
    <xf numFmtId="40" fontId="57" fillId="0" borderId="34" xfId="0" applyNumberFormat="1" applyFont="1" applyBorder="1" applyAlignment="1">
      <alignment horizontal="center"/>
    </xf>
    <xf numFmtId="40" fontId="57" fillId="0" borderId="35" xfId="0" applyNumberFormat="1" applyFont="1" applyBorder="1" applyAlignment="1">
      <alignment horizontal="center"/>
    </xf>
    <xf numFmtId="40" fontId="47" fillId="0" borderId="37" xfId="0" applyNumberFormat="1" applyFont="1" applyBorder="1" applyAlignment="1">
      <alignment horizontal="center"/>
    </xf>
    <xf numFmtId="40" fontId="47" fillId="0" borderId="31" xfId="0" applyNumberFormat="1" applyFont="1" applyBorder="1" applyAlignment="1">
      <alignment horizontal="center"/>
    </xf>
    <xf numFmtId="40" fontId="49" fillId="28" borderId="18" xfId="0" applyNumberFormat="1" applyFont="1" applyFill="1" applyBorder="1" applyAlignment="1">
      <alignment horizontal="center"/>
    </xf>
    <xf numFmtId="40" fontId="49" fillId="28" borderId="39" xfId="0" applyNumberFormat="1" applyFont="1" applyFill="1" applyBorder="1" applyAlignment="1">
      <alignment horizontal="center"/>
    </xf>
  </cellXfs>
  <cellStyles count="5">
    <cellStyle name="Bad" xfId="4" builtinId="27"/>
    <cellStyle name="Currency" xfId="1" builtinId="4"/>
    <cellStyle name="Hyperlink" xfId="3" xr:uid="{00000000-000B-0000-0000-000008000000}"/>
    <cellStyle name="Normal" xfId="0" builtinId="0"/>
    <cellStyle name="Normal 2" xfId="2" xr:uid="{00000000-0005-0000-0000-000001000000}"/>
  </cellStyles>
  <dxfs count="10">
    <dxf>
      <font>
        <strike val="0"/>
        <outline val="0"/>
        <shadow val="0"/>
        <vertAlign val="baseline"/>
        <sz val="11"/>
        <name val="Century Gothic"/>
        <family val="2"/>
        <scheme val="none"/>
      </font>
      <alignment vertical="center" wrapText="1"/>
    </dxf>
    <dxf>
      <font>
        <strike val="0"/>
        <condense val="0"/>
        <extend val="0"/>
        <outline val="0"/>
        <shadow val="0"/>
        <vertAlign val="baseline"/>
        <sz val="11"/>
        <color theme="1"/>
        <name val="Century Gothic"/>
        <family val="2"/>
        <scheme val="none"/>
      </font>
      <numFmt numFmtId="169" formatCode="#,##0.00_ ;[Red]\-#,##0.00\ "/>
      <fill>
        <patternFill patternType="solid">
          <fgColor indexed="64"/>
          <bgColor theme="8" tint="0.79998168889431442"/>
        </patternFill>
      </fill>
      <alignment horizontal="right" vertical="center" textRotation="0" wrapText="1" indent="0" justifyLastLine="0" shrinkToFit="0" readingOrder="0"/>
      <border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rgb="FFFF0000"/>
        <name val="Century Gothic"/>
        <family val="2"/>
        <scheme val="none"/>
      </font>
      <numFmt numFmtId="169" formatCode="#,##0.00_ ;[Red]\-#,##0.00\ "/>
      <fill>
        <patternFill patternType="solid">
          <fgColor indexed="64"/>
          <bgColor theme="8" tint="0.79998168889431442"/>
        </patternFill>
      </fill>
      <alignment horizontal="right" vertical="center" textRotation="0" wrapText="1" indent="0" justifyLastLine="0" shrinkToFit="0" readingOrder="0"/>
      <border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b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numFmt numFmtId="169" formatCode="#,##0.00_ ;[Red]\-#,##0.00\ "/>
      <fill>
        <patternFill patternType="solid">
          <fgColor indexed="64"/>
          <bgColor theme="8" tint="0.79998168889431442"/>
        </patternFill>
      </fill>
      <alignment horizontal="right" vertical="center" textRotation="0" wrapText="1" indent="0" justifyLastLine="0" shrinkToFit="0" readingOrder="0"/>
      <border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entury Gothic"/>
        <family val="2"/>
        <scheme val="none"/>
      </font>
      <numFmt numFmtId="1" formatCode="0"/>
      <fill>
        <patternFill patternType="solid">
          <fgColor indexed="64"/>
          <bgColor theme="4" tint="0.79998168889431442"/>
        </patternFill>
      </fill>
      <alignment horizontal="center" vertical="center" wrapText="1"/>
      <border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entury Gothic"/>
        <family val="2"/>
        <scheme val="none"/>
      </font>
      <numFmt numFmtId="19" formatCode="dd/mm/yyyy"/>
      <fill>
        <patternFill patternType="solid">
          <fgColor indexed="64"/>
          <bgColor theme="4" tint="0.79998168889431442"/>
        </patternFill>
      </fill>
      <alignment horizontal="center" vertical="center" wrapText="1"/>
      <border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entury Gothic"/>
        <family val="2"/>
        <scheme val="none"/>
      </font>
      <numFmt numFmtId="30" formatCode="@"/>
      <fill>
        <patternFill patternType="solid">
          <fgColor indexed="64"/>
          <bgColor theme="8" tint="0.79998168889431442"/>
        </patternFill>
      </fill>
      <alignment horizontal="center" vertical="top" textRotation="0" wrapText="1" indent="0" justifyLastLine="0" shrinkToFit="0" readingOrder="0"/>
      <border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border>
        <bottom style="thin">
          <color rgb="FFB4C6E7"/>
        </bottom>
      </border>
    </dxf>
    <dxf>
      <font>
        <strike val="0"/>
        <outline val="0"/>
        <shadow val="0"/>
        <vertAlign val="baseline"/>
        <sz val="11"/>
        <name val="Century Gothic"/>
        <family val="2"/>
        <scheme val="none"/>
      </font>
      <alignment vertical="center" wrapText="1"/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entury Gothic"/>
        <family val="2"/>
        <scheme val="none"/>
      </font>
      <fill>
        <patternFill patternType="solid">
          <fgColor indexed="64"/>
          <bgColor theme="8"/>
        </patternFill>
      </fill>
      <alignment horizontal="center" vertical="center" wrapText="1"/>
      <border outline="0">
        <left style="thin">
          <color theme="8" tint="0.59999389629810485"/>
        </left>
        <right style="thin">
          <color theme="8" tint="0.59999389629810485"/>
        </right>
        <top/>
        <bottom/>
      </border>
    </dxf>
  </dxfs>
  <tableStyles count="0" defaultTableStyle="TableStyleMedium9" defaultPivotStyle="PivotStyleMedium7"/>
  <colors>
    <mruColors>
      <color rgb="FFB6DF8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isclaimer-Smartsheet-Templates_Solution1-Tab5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tenance Work Order"/>
      <sheetName val="BLANK - Maintenance Work Order "/>
      <sheetName val="- Disclaimer -"/>
    </sheetNames>
    <sheetDataSet>
      <sheetData sheetId="0"/>
      <sheetData sheetId="1" refreshError="1"/>
      <sheetData sheetId="2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Andreas Goldberg" id="{8946C4DA-98CC-421F-A312-165DCF8256EE}" userId="S::andreas.goldberg@klline.at::f398a1f4-7fdf-4e68-8cda-9a7ff8acde73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alesReport" displayName="SalesReport" ref="B3:H173" totalsRowShown="0" headerRowDxfId="9" dataDxfId="8" headerRowBorderDxfId="7">
  <autoFilter ref="B3:H173" xr:uid="{00000000-0009-0000-0100-000001000000}"/>
  <tableColumns count="7">
    <tableColumn id="1" xr3:uid="{00000000-0010-0000-0000-000001000000}" name="KUNDE / UNTERNEHMEN" dataDxfId="6"/>
    <tableColumn id="5" xr3:uid="{00000000-0010-0000-0000-000005000000}" name="Rechnungsdatum" dataDxfId="5"/>
    <tableColumn id="11" xr3:uid="{00000000-0010-0000-0000-00000B000000}" name="RECHNUNGSNUMMER (V)" dataDxfId="4">
      <calculatedColumnFormula>DATE(YEAR(C4),MONTH(C4),1)</calculatedColumnFormula>
    </tableColumn>
    <tableColumn id="13" xr3:uid="{00000000-0010-0000-0000-00000D000000}" name="Verkauf Netto" dataDxfId="3"/>
    <tableColumn id="12" xr3:uid="{00000000-0010-0000-0000-00000C000000}" name="Einkauf EK Netto" dataDxfId="2"/>
    <tableColumn id="10" xr3:uid="{00000000-0010-0000-0000-00000A000000}" name="Restliche Kosten" dataDxfId="1">
      <calculatedColumnFormula>SalesReport[[#This Row],[Verkauf Netto]]-SalesReport[[#This Row],[Einkauf EK Netto]]</calculatedColumnFormula>
    </tableColumn>
    <tableColumn id="3" xr3:uid="{B2C1DD45-B57C-4A4E-B82B-79B599C16F52}" name="Spalte2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75" dT="2025-09-19T11:48:03.32" personId="{8946C4DA-98CC-421F-A312-165DCF8256EE}" id="{07EFAAF6-902E-4E73-A440-2B281DC985E7}">
    <text>30 Tage nach Lieferung</text>
  </threadedComment>
  <threadedComment ref="F275" dT="2025-09-19T11:48:03.32" personId="{8946C4DA-98CC-421F-A312-165DCF8256EE}" id="{5A0FA022-7936-400D-875C-CDCA899C5E7B}">
    <text>30 Tage nach Lieferung</text>
  </threadedComment>
  <threadedComment ref="E319" dT="2025-09-19T11:48:03.32" personId="{8946C4DA-98CC-421F-A312-165DCF8256EE}" id="{7A8A5358-2CCE-44FB-B4E3-9B2B3308B521}">
    <text>30 Tage nach Lieferung</text>
  </threadedComment>
  <threadedComment ref="F319" dT="2025-09-19T11:48:03.32" personId="{8946C4DA-98CC-421F-A312-165DCF8256EE}" id="{8FC01694-B6F2-4743-B40C-66093874C6FA}">
    <text>30 Tage nach Lieferung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mara.ruggieri@truedesign.it" TargetMode="External"/><Relationship Id="rId13" Type="http://schemas.openxmlformats.org/officeDocument/2006/relationships/hyperlink" Target="mailto:info@kuechen-gabriel.at" TargetMode="External"/><Relationship Id="rId3" Type="http://schemas.openxmlformats.org/officeDocument/2006/relationships/hyperlink" Target="mailto:mkrzanik@mdd.pl" TargetMode="External"/><Relationship Id="rId7" Type="http://schemas.openxmlformats.org/officeDocument/2006/relationships/hyperlink" Target="mailto:timo@vesalainen.fi" TargetMode="External"/><Relationship Id="rId12" Type="http://schemas.openxmlformats.org/officeDocument/2006/relationships/hyperlink" Target="mailto:carole@vamacucine.com" TargetMode="External"/><Relationship Id="rId2" Type="http://schemas.openxmlformats.org/officeDocument/2006/relationships/hyperlink" Target="mailto:c.troeger@narbutas.li" TargetMode="External"/><Relationship Id="rId1" Type="http://schemas.openxmlformats.org/officeDocument/2006/relationships/hyperlink" Target="mailto:yvoelkle@rovochair.com" TargetMode="External"/><Relationship Id="rId6" Type="http://schemas.openxmlformats.org/officeDocument/2006/relationships/hyperlink" Target="mailto:matteo@stefanioffice.it" TargetMode="External"/><Relationship Id="rId11" Type="http://schemas.openxmlformats.org/officeDocument/2006/relationships/hyperlink" Target="mailto:peter.dobias@nowystyl.com" TargetMode="External"/><Relationship Id="rId5" Type="http://schemas.openxmlformats.org/officeDocument/2006/relationships/hyperlink" Target="mailto:r.szabo@steelcase-bmv.at" TargetMode="External"/><Relationship Id="rId10" Type="http://schemas.openxmlformats.org/officeDocument/2006/relationships/hyperlink" Target="mailto:peter.dobias@nowystyl.com" TargetMode="External"/><Relationship Id="rId4" Type="http://schemas.openxmlformats.org/officeDocument/2006/relationships/hyperlink" Target="mailto:andreas.getzinger@design4architects.com" TargetMode="External"/><Relationship Id="rId9" Type="http://schemas.openxmlformats.org/officeDocument/2006/relationships/hyperlink" Target="mailto:yvoelkle@atoffice.de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mailto:office@vktec.a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T421"/>
  <sheetViews>
    <sheetView topLeftCell="E45" zoomScale="55" zoomScaleNormal="55" workbookViewId="0">
      <selection activeCell="T386" sqref="T386"/>
    </sheetView>
  </sheetViews>
  <sheetFormatPr defaultColWidth="11" defaultRowHeight="15.75" customHeight="1"/>
  <cols>
    <col min="1" max="1" width="3.25" customWidth="1"/>
    <col min="2" max="2" width="24.5" style="103" customWidth="1"/>
    <col min="3" max="3" width="16.25" customWidth="1"/>
    <col min="4" max="4" width="13.25" customWidth="1"/>
    <col min="5" max="6" width="14.5" customWidth="1"/>
    <col min="7" max="7" width="14.5" style="93" customWidth="1"/>
    <col min="8" max="8" width="14.5" style="256" customWidth="1"/>
    <col min="9" max="9" width="16.75" customWidth="1"/>
    <col min="10" max="10" width="16.625" style="256" customWidth="1"/>
    <col min="11" max="11" width="9.75" style="93" customWidth="1"/>
    <col min="12" max="12" width="10.625" customWidth="1"/>
    <col min="13" max="13" width="10.625" style="16" customWidth="1"/>
    <col min="14" max="14" width="10.625" customWidth="1"/>
    <col min="16" max="16" width="1.75" customWidth="1"/>
    <col min="17" max="17" width="19.5" bestFit="1" customWidth="1"/>
  </cols>
  <sheetData>
    <row r="2" spans="2:18" ht="25.5" customHeight="1">
      <c r="B2" s="115" t="s">
        <v>0</v>
      </c>
      <c r="C2" s="116"/>
      <c r="D2" s="10"/>
      <c r="E2" s="3"/>
      <c r="F2" s="3"/>
      <c r="G2" s="90"/>
      <c r="H2" s="247"/>
      <c r="I2" s="3"/>
      <c r="J2" s="247"/>
      <c r="K2" s="90"/>
      <c r="L2" s="3"/>
      <c r="M2" s="95"/>
      <c r="N2" s="3"/>
      <c r="O2" s="2"/>
    </row>
    <row r="3" spans="2:18" ht="30" customHeight="1">
      <c r="B3" s="104" t="s">
        <v>1</v>
      </c>
      <c r="C3" s="22" t="s">
        <v>2</v>
      </c>
      <c r="D3" s="23" t="s">
        <v>3</v>
      </c>
      <c r="E3" s="22" t="s">
        <v>4</v>
      </c>
      <c r="F3" s="22" t="s">
        <v>5</v>
      </c>
      <c r="G3" s="99" t="s">
        <v>6</v>
      </c>
      <c r="H3" s="248" t="s">
        <v>7</v>
      </c>
      <c r="I3" s="12" t="s">
        <v>8</v>
      </c>
      <c r="J3" s="268" t="s">
        <v>9</v>
      </c>
      <c r="K3" s="91" t="s">
        <v>10</v>
      </c>
      <c r="L3" s="12" t="s">
        <v>11</v>
      </c>
      <c r="M3" s="97"/>
      <c r="N3" s="24" t="s">
        <v>11</v>
      </c>
      <c r="O3" s="5" t="s">
        <v>12</v>
      </c>
      <c r="Q3" s="26" t="s">
        <v>13</v>
      </c>
      <c r="R3" s="26" t="s">
        <v>14</v>
      </c>
    </row>
    <row r="4" spans="2:18" ht="15.75" customHeight="1">
      <c r="B4" s="105" t="s">
        <v>0</v>
      </c>
      <c r="C4" s="4">
        <v>45726</v>
      </c>
      <c r="D4" s="11" t="s">
        <v>15</v>
      </c>
      <c r="E4" s="8">
        <v>6526.92</v>
      </c>
      <c r="F4" s="8"/>
      <c r="G4" s="4"/>
      <c r="H4" s="249"/>
      <c r="I4" s="197"/>
      <c r="J4" s="254"/>
      <c r="K4" s="4"/>
      <c r="L4" s="4"/>
      <c r="M4" s="8">
        <v>6526.92</v>
      </c>
      <c r="N4" s="4">
        <v>45723</v>
      </c>
      <c r="O4" s="8"/>
    </row>
    <row r="5" spans="2:18" ht="15.75" customHeight="1">
      <c r="B5" s="105" t="s">
        <v>16</v>
      </c>
      <c r="C5" s="80"/>
      <c r="D5" s="81"/>
      <c r="E5" s="82"/>
      <c r="F5" s="82"/>
      <c r="G5" s="80">
        <v>45689</v>
      </c>
      <c r="H5" s="250">
        <v>1003</v>
      </c>
      <c r="I5" s="198">
        <v>2502019</v>
      </c>
      <c r="J5" s="250">
        <v>1003</v>
      </c>
      <c r="K5" s="80" t="s">
        <v>17</v>
      </c>
      <c r="L5" s="80">
        <v>45692</v>
      </c>
      <c r="M5" s="98"/>
      <c r="N5" s="80"/>
      <c r="O5" s="82"/>
      <c r="P5" s="79"/>
      <c r="Q5" s="79" t="s">
        <v>18</v>
      </c>
      <c r="R5" s="79"/>
    </row>
    <row r="6" spans="2:18" ht="15.75" customHeight="1">
      <c r="B6" s="105" t="s">
        <v>19</v>
      </c>
      <c r="C6" s="80"/>
      <c r="D6" s="81"/>
      <c r="E6" s="82"/>
      <c r="F6" s="82"/>
      <c r="G6" s="80">
        <v>45689</v>
      </c>
      <c r="H6" s="250">
        <v>418.5</v>
      </c>
      <c r="I6" s="198" t="s">
        <v>20</v>
      </c>
      <c r="J6" s="250">
        <v>418.5</v>
      </c>
      <c r="K6" s="80" t="s">
        <v>17</v>
      </c>
      <c r="L6" s="80">
        <v>45680</v>
      </c>
      <c r="M6" s="98"/>
      <c r="N6" s="80"/>
      <c r="O6" s="82"/>
      <c r="P6" s="79"/>
      <c r="Q6" s="79" t="s">
        <v>21</v>
      </c>
      <c r="R6" s="79"/>
    </row>
    <row r="7" spans="2:18" ht="15.75" customHeight="1">
      <c r="B7" s="105" t="s">
        <v>22</v>
      </c>
      <c r="C7" s="80"/>
      <c r="D7" s="81"/>
      <c r="E7" s="82"/>
      <c r="F7" s="82"/>
      <c r="G7" s="80">
        <v>45689</v>
      </c>
      <c r="H7" s="250">
        <v>1155</v>
      </c>
      <c r="I7" s="198">
        <v>801883717</v>
      </c>
      <c r="J7" s="250">
        <v>1155</v>
      </c>
      <c r="K7" s="80" t="s">
        <v>17</v>
      </c>
      <c r="L7" s="80">
        <v>45666</v>
      </c>
      <c r="M7" s="98"/>
      <c r="N7" s="80"/>
      <c r="O7" s="82"/>
      <c r="P7" s="79"/>
      <c r="Q7" s="79" t="s">
        <v>23</v>
      </c>
      <c r="R7" s="79"/>
    </row>
    <row r="8" spans="2:18" ht="15.75" customHeight="1">
      <c r="B8" s="105" t="s">
        <v>24</v>
      </c>
      <c r="C8" s="80"/>
      <c r="D8" s="81"/>
      <c r="E8" s="82"/>
      <c r="F8" s="82"/>
      <c r="G8" s="80">
        <v>45689</v>
      </c>
      <c r="H8" s="250">
        <v>1655</v>
      </c>
      <c r="I8" s="198">
        <v>250206</v>
      </c>
      <c r="J8" s="250">
        <v>1655</v>
      </c>
      <c r="K8" s="80" t="s">
        <v>17</v>
      </c>
      <c r="L8" s="80">
        <v>45696</v>
      </c>
      <c r="M8" s="98"/>
      <c r="N8" s="80"/>
      <c r="O8" s="82"/>
      <c r="P8" s="79"/>
      <c r="Q8" s="79" t="s">
        <v>25</v>
      </c>
      <c r="R8" s="79"/>
    </row>
    <row r="9" spans="2:18" ht="15.75" customHeight="1">
      <c r="B9" s="119" t="s">
        <v>26</v>
      </c>
      <c r="C9" s="13"/>
      <c r="D9" s="13"/>
      <c r="E9" s="13"/>
      <c r="F9" s="13"/>
      <c r="G9" s="92"/>
      <c r="H9" s="251"/>
      <c r="I9" s="13"/>
      <c r="J9" s="269"/>
      <c r="K9" s="92"/>
      <c r="L9" s="13"/>
      <c r="M9" s="96"/>
      <c r="N9" s="13"/>
      <c r="O9" s="14">
        <f>SUM(E4:F8)-SUM(H4:H8)</f>
        <v>2295.42</v>
      </c>
    </row>
    <row r="12" spans="2:18" ht="27" customHeight="1">
      <c r="B12" s="115" t="s">
        <v>27</v>
      </c>
      <c r="C12" s="116"/>
      <c r="D12" s="10"/>
      <c r="E12" s="3"/>
      <c r="F12" s="3"/>
      <c r="G12" s="90"/>
      <c r="H12" s="247"/>
      <c r="I12" s="3"/>
      <c r="J12" s="247"/>
      <c r="K12" s="90"/>
      <c r="L12" s="3"/>
      <c r="M12" s="95"/>
      <c r="N12" s="3"/>
      <c r="O12" s="2"/>
    </row>
    <row r="13" spans="2:18" ht="33.75" customHeight="1">
      <c r="B13" s="104" t="s">
        <v>1</v>
      </c>
      <c r="C13" s="22" t="s">
        <v>2</v>
      </c>
      <c r="D13" s="23" t="s">
        <v>3</v>
      </c>
      <c r="E13" s="22" t="s">
        <v>4</v>
      </c>
      <c r="F13" s="22" t="s">
        <v>5</v>
      </c>
      <c r="G13" s="99" t="s">
        <v>6</v>
      </c>
      <c r="H13" s="248" t="s">
        <v>7</v>
      </c>
      <c r="I13" s="12" t="s">
        <v>8</v>
      </c>
      <c r="J13" s="268" t="s">
        <v>9</v>
      </c>
      <c r="K13" s="91" t="s">
        <v>10</v>
      </c>
      <c r="L13" s="12" t="s">
        <v>11</v>
      </c>
      <c r="M13" s="97"/>
      <c r="N13" s="24" t="s">
        <v>11</v>
      </c>
      <c r="O13" s="5" t="s">
        <v>12</v>
      </c>
      <c r="Q13" s="26" t="s">
        <v>13</v>
      </c>
      <c r="R13" s="26" t="s">
        <v>14</v>
      </c>
    </row>
    <row r="14" spans="2:18" ht="24.75" customHeight="1">
      <c r="B14" s="105" t="s">
        <v>27</v>
      </c>
      <c r="C14" s="4">
        <v>45673</v>
      </c>
      <c r="D14" s="11"/>
      <c r="E14" s="8">
        <v>301.95999999999998</v>
      </c>
      <c r="F14" s="8"/>
      <c r="G14" s="4"/>
      <c r="H14" s="252"/>
      <c r="I14" s="197"/>
      <c r="J14" s="254"/>
      <c r="K14" s="4"/>
      <c r="L14" s="4"/>
      <c r="M14" s="15">
        <v>301.95999999999998</v>
      </c>
      <c r="N14" s="4">
        <v>45673</v>
      </c>
      <c r="O14" s="8"/>
    </row>
    <row r="15" spans="2:18" ht="15.75" customHeight="1">
      <c r="B15" s="105" t="s">
        <v>28</v>
      </c>
      <c r="C15" s="80"/>
      <c r="D15" s="81"/>
      <c r="E15" s="82"/>
      <c r="F15" s="82"/>
      <c r="G15" s="80">
        <v>45673</v>
      </c>
      <c r="H15" s="250">
        <v>218.89</v>
      </c>
      <c r="I15" s="199" t="s">
        <v>29</v>
      </c>
      <c r="J15" s="250">
        <v>218.89</v>
      </c>
      <c r="K15" s="80" t="s">
        <v>17</v>
      </c>
      <c r="L15" s="83">
        <v>45689</v>
      </c>
      <c r="M15" s="98"/>
      <c r="N15" s="80"/>
      <c r="O15" s="82"/>
      <c r="P15" s="79"/>
      <c r="Q15" s="79" t="s">
        <v>30</v>
      </c>
      <c r="R15" s="79"/>
    </row>
    <row r="16" spans="2:18" ht="15.75" customHeight="1">
      <c r="B16" s="107" t="s">
        <v>26</v>
      </c>
      <c r="C16" s="13"/>
      <c r="D16" s="13"/>
      <c r="E16" s="13"/>
      <c r="F16" s="13"/>
      <c r="G16" s="92"/>
      <c r="H16" s="253"/>
      <c r="I16" s="13"/>
      <c r="J16" s="269"/>
      <c r="K16" s="92"/>
      <c r="L16" s="13"/>
      <c r="M16" s="96"/>
      <c r="N16" s="13"/>
      <c r="O16" s="14">
        <f>SUM(E14:F15)-SUM(H14:H15)</f>
        <v>83.07</v>
      </c>
    </row>
    <row r="19" spans="1:18" ht="24.75" customHeight="1">
      <c r="B19" s="115" t="s">
        <v>27</v>
      </c>
      <c r="C19" s="116"/>
      <c r="D19" s="10"/>
      <c r="E19" s="3"/>
      <c r="F19" s="3"/>
      <c r="G19" s="90"/>
      <c r="H19" s="247"/>
      <c r="I19" s="3"/>
      <c r="J19" s="247"/>
      <c r="K19" s="90"/>
      <c r="L19" s="3"/>
      <c r="M19" s="95"/>
      <c r="N19" s="3"/>
      <c r="O19" s="2"/>
    </row>
    <row r="20" spans="1:18" ht="27.75" customHeight="1">
      <c r="B20" s="104" t="s">
        <v>1</v>
      </c>
      <c r="C20" s="22" t="s">
        <v>2</v>
      </c>
      <c r="D20" s="23" t="s">
        <v>3</v>
      </c>
      <c r="E20" s="22" t="s">
        <v>4</v>
      </c>
      <c r="F20" s="22" t="s">
        <v>5</v>
      </c>
      <c r="G20" s="99" t="s">
        <v>6</v>
      </c>
      <c r="H20" s="248" t="s">
        <v>7</v>
      </c>
      <c r="I20" s="12" t="s">
        <v>8</v>
      </c>
      <c r="J20" s="268" t="s">
        <v>9</v>
      </c>
      <c r="K20" s="91" t="s">
        <v>10</v>
      </c>
      <c r="L20" s="12" t="s">
        <v>11</v>
      </c>
      <c r="M20" s="97"/>
      <c r="N20" s="24" t="s">
        <v>11</v>
      </c>
      <c r="O20" s="5" t="s">
        <v>12</v>
      </c>
      <c r="Q20" s="26" t="s">
        <v>13</v>
      </c>
      <c r="R20" s="26" t="s">
        <v>14</v>
      </c>
    </row>
    <row r="21" spans="1:18" ht="30.75" customHeight="1">
      <c r="B21" s="105" t="s">
        <v>27</v>
      </c>
      <c r="C21" s="4">
        <v>45685</v>
      </c>
      <c r="D21" s="11" t="s">
        <v>31</v>
      </c>
      <c r="E21" s="8">
        <v>301.95999999999998</v>
      </c>
      <c r="F21" s="8"/>
      <c r="G21" s="4"/>
      <c r="H21" s="252"/>
      <c r="I21" s="197"/>
      <c r="J21" s="254"/>
      <c r="K21" s="4" t="s">
        <v>32</v>
      </c>
      <c r="L21" s="4">
        <v>45685</v>
      </c>
      <c r="M21" s="8">
        <v>301.95999999999998</v>
      </c>
      <c r="N21" s="4">
        <v>45685</v>
      </c>
      <c r="O21" s="8"/>
    </row>
    <row r="22" spans="1:18" ht="15.75" customHeight="1">
      <c r="B22" s="105" t="s">
        <v>28</v>
      </c>
      <c r="C22" s="80"/>
      <c r="D22" s="81"/>
      <c r="E22" s="82"/>
      <c r="F22" s="82"/>
      <c r="G22" s="80">
        <v>45685</v>
      </c>
      <c r="H22" s="250">
        <v>218.89</v>
      </c>
      <c r="I22" t="s">
        <v>33</v>
      </c>
      <c r="J22" s="250">
        <v>218.89</v>
      </c>
      <c r="K22" s="80" t="s">
        <v>17</v>
      </c>
      <c r="L22" s="80">
        <v>45686</v>
      </c>
      <c r="M22" s="98"/>
      <c r="N22" s="80"/>
      <c r="O22" s="82"/>
      <c r="P22" s="79"/>
      <c r="Q22" s="79" t="s">
        <v>34</v>
      </c>
      <c r="R22" s="79"/>
    </row>
    <row r="23" spans="1:18" ht="15.75" customHeight="1">
      <c r="B23" s="107" t="s">
        <v>26</v>
      </c>
      <c r="C23" s="13"/>
      <c r="D23" s="13"/>
      <c r="E23" s="13"/>
      <c r="F23" s="13"/>
      <c r="G23" s="92"/>
      <c r="H23" s="253"/>
      <c r="I23" s="13"/>
      <c r="J23" s="269"/>
      <c r="K23" s="92"/>
      <c r="L23" s="13"/>
      <c r="M23" s="96"/>
      <c r="N23" s="13"/>
      <c r="O23" s="14">
        <f>SUM(E21:F22)-SUM(H21:H22)</f>
        <v>83.07</v>
      </c>
    </row>
    <row r="26" spans="1:18" ht="27" customHeight="1">
      <c r="B26" s="130" t="s">
        <v>35</v>
      </c>
      <c r="C26" s="131"/>
      <c r="D26" s="132"/>
      <c r="E26" s="3"/>
      <c r="F26" s="3"/>
      <c r="G26" s="90"/>
      <c r="H26" s="247"/>
      <c r="I26" s="3"/>
      <c r="J26" s="247"/>
      <c r="K26" s="90"/>
      <c r="L26" s="3"/>
      <c r="M26" s="95"/>
      <c r="N26" s="3"/>
      <c r="O26" s="2"/>
    </row>
    <row r="27" spans="1:18" ht="31.5" customHeight="1">
      <c r="B27" s="104" t="s">
        <v>1</v>
      </c>
      <c r="C27" s="22" t="s">
        <v>2</v>
      </c>
      <c r="D27" s="23" t="s">
        <v>3</v>
      </c>
      <c r="E27" s="22" t="s">
        <v>4</v>
      </c>
      <c r="F27" s="22" t="s">
        <v>5</v>
      </c>
      <c r="G27" s="99" t="s">
        <v>6</v>
      </c>
      <c r="H27" s="248" t="s">
        <v>7</v>
      </c>
      <c r="I27" s="12" t="s">
        <v>8</v>
      </c>
      <c r="J27" s="268" t="s">
        <v>9</v>
      </c>
      <c r="K27" s="91" t="s">
        <v>10</v>
      </c>
      <c r="L27" s="12" t="s">
        <v>11</v>
      </c>
      <c r="M27" s="97"/>
      <c r="N27" s="24" t="s">
        <v>11</v>
      </c>
      <c r="O27" s="5" t="s">
        <v>12</v>
      </c>
      <c r="Q27" s="26" t="s">
        <v>13</v>
      </c>
      <c r="R27" s="26" t="s">
        <v>14</v>
      </c>
    </row>
    <row r="28" spans="1:18" ht="24.95">
      <c r="A28" s="129"/>
      <c r="B28" s="105" t="s">
        <v>35</v>
      </c>
      <c r="C28" s="4">
        <v>45728</v>
      </c>
      <c r="D28" s="11" t="s">
        <v>36</v>
      </c>
      <c r="E28" s="8">
        <v>1342.6</v>
      </c>
      <c r="F28" s="8"/>
      <c r="G28" s="4"/>
      <c r="H28" s="252"/>
      <c r="I28" s="197"/>
      <c r="J28" s="254"/>
      <c r="K28" s="4"/>
      <c r="L28" s="4"/>
      <c r="M28" s="15">
        <v>1342.6</v>
      </c>
      <c r="N28" s="4">
        <v>45729</v>
      </c>
      <c r="O28" s="8"/>
    </row>
    <row r="29" spans="1:18" ht="15.6">
      <c r="A29" s="129"/>
      <c r="B29" s="105" t="s">
        <v>37</v>
      </c>
      <c r="C29" s="4"/>
      <c r="D29" s="11"/>
      <c r="E29" s="8"/>
      <c r="F29" s="8"/>
      <c r="G29" s="4">
        <v>45795</v>
      </c>
      <c r="H29" s="254">
        <v>-250</v>
      </c>
      <c r="I29" s="198">
        <v>19</v>
      </c>
      <c r="J29" s="254">
        <v>-250</v>
      </c>
      <c r="K29" s="4" t="s">
        <v>17</v>
      </c>
      <c r="L29" s="4">
        <v>45795</v>
      </c>
      <c r="M29" s="15"/>
      <c r="N29" s="4"/>
      <c r="O29" s="8"/>
    </row>
    <row r="30" spans="1:18" ht="15.6">
      <c r="B30" s="105" t="s">
        <v>16</v>
      </c>
      <c r="C30" s="80"/>
      <c r="D30" s="81"/>
      <c r="E30" s="82"/>
      <c r="F30" s="82"/>
      <c r="G30" s="80">
        <v>45717</v>
      </c>
      <c r="H30" s="250">
        <v>1044</v>
      </c>
      <c r="I30" s="198">
        <v>5408</v>
      </c>
      <c r="J30" s="250">
        <v>1044</v>
      </c>
      <c r="K30" s="80" t="s">
        <v>17</v>
      </c>
      <c r="L30" s="80">
        <v>45724</v>
      </c>
      <c r="M30" s="98"/>
      <c r="N30" s="80"/>
      <c r="O30" s="82"/>
      <c r="P30" s="79"/>
      <c r="Q30" s="79" t="s">
        <v>38</v>
      </c>
      <c r="R30" s="79"/>
    </row>
    <row r="31" spans="1:18" ht="15.75" customHeight="1">
      <c r="B31" s="107" t="s">
        <v>26</v>
      </c>
      <c r="C31" s="13"/>
      <c r="D31" s="13"/>
      <c r="E31" s="13"/>
      <c r="F31" s="13"/>
      <c r="G31" s="92"/>
      <c r="H31" s="253"/>
      <c r="I31" s="13"/>
      <c r="J31" s="269"/>
      <c r="K31" s="92"/>
      <c r="L31" s="13"/>
      <c r="M31" s="96"/>
      <c r="N31" s="13"/>
      <c r="O31" s="14">
        <f>SUM(E28:F30)-SUM(H28:H30)</f>
        <v>548.59999999999991</v>
      </c>
    </row>
    <row r="34" spans="2:18" ht="26.25" customHeight="1">
      <c r="B34" s="115" t="s">
        <v>39</v>
      </c>
      <c r="C34" s="7"/>
      <c r="D34" s="10"/>
      <c r="E34" s="3"/>
      <c r="F34" s="3"/>
      <c r="G34" s="90"/>
      <c r="H34" s="247"/>
      <c r="I34" s="3"/>
      <c r="J34" s="247"/>
      <c r="K34" s="90"/>
      <c r="L34" s="3"/>
      <c r="M34" s="95"/>
      <c r="N34" s="3"/>
      <c r="O34" s="2"/>
    </row>
    <row r="35" spans="2:18" ht="28.5" customHeight="1">
      <c r="B35" s="104" t="s">
        <v>1</v>
      </c>
      <c r="C35" s="22" t="s">
        <v>2</v>
      </c>
      <c r="D35" s="23" t="s">
        <v>3</v>
      </c>
      <c r="E35" s="22" t="s">
        <v>4</v>
      </c>
      <c r="F35" s="22" t="s">
        <v>5</v>
      </c>
      <c r="G35" s="99" t="s">
        <v>6</v>
      </c>
      <c r="H35" s="248" t="s">
        <v>7</v>
      </c>
      <c r="I35" s="12" t="s">
        <v>8</v>
      </c>
      <c r="J35" s="268" t="s">
        <v>9</v>
      </c>
      <c r="K35" s="91" t="s">
        <v>10</v>
      </c>
      <c r="L35" s="12" t="s">
        <v>11</v>
      </c>
      <c r="M35" s="97"/>
      <c r="N35" s="24" t="s">
        <v>11</v>
      </c>
      <c r="O35" s="5" t="s">
        <v>12</v>
      </c>
      <c r="Q35" s="26" t="s">
        <v>13</v>
      </c>
      <c r="R35" s="26" t="s">
        <v>14</v>
      </c>
    </row>
    <row r="36" spans="2:18" ht="16.5" customHeight="1">
      <c r="B36" s="105" t="s">
        <v>39</v>
      </c>
      <c r="C36" s="4">
        <v>45728</v>
      </c>
      <c r="D36" s="11" t="s">
        <v>40</v>
      </c>
      <c r="E36" s="8">
        <v>80.3</v>
      </c>
      <c r="F36" s="8"/>
      <c r="G36" s="4"/>
      <c r="H36" s="249"/>
      <c r="I36" s="197"/>
      <c r="J36" s="254"/>
      <c r="K36" s="4"/>
      <c r="L36" s="4"/>
      <c r="M36" s="15">
        <v>80.3</v>
      </c>
      <c r="N36" s="4">
        <v>45740</v>
      </c>
      <c r="O36" s="8"/>
    </row>
    <row r="37" spans="2:18" ht="15.75" customHeight="1">
      <c r="B37" s="105" t="s">
        <v>16</v>
      </c>
      <c r="C37" s="80"/>
      <c r="D37" s="81"/>
      <c r="E37" s="82"/>
      <c r="F37" s="82"/>
      <c r="G37" s="80">
        <v>45717</v>
      </c>
      <c r="H37" s="250">
        <v>44</v>
      </c>
      <c r="I37" s="198">
        <v>5408</v>
      </c>
      <c r="J37" s="250">
        <v>44</v>
      </c>
      <c r="K37" s="80" t="s">
        <v>17</v>
      </c>
      <c r="L37" s="80">
        <v>45724</v>
      </c>
      <c r="M37" s="98"/>
      <c r="N37" s="80"/>
      <c r="O37" s="82"/>
      <c r="P37" s="79"/>
      <c r="Q37" s="79" t="s">
        <v>41</v>
      </c>
      <c r="R37" s="79"/>
    </row>
    <row r="38" spans="2:18" ht="15.75" customHeight="1">
      <c r="B38" s="107" t="s">
        <v>26</v>
      </c>
      <c r="C38" s="13"/>
      <c r="D38" s="13"/>
      <c r="E38" s="13"/>
      <c r="F38" s="13"/>
      <c r="G38" s="92"/>
      <c r="H38" s="253"/>
      <c r="I38" s="13"/>
      <c r="J38" s="269"/>
      <c r="K38" s="92"/>
      <c r="L38" s="13"/>
      <c r="M38" s="96"/>
      <c r="N38" s="13"/>
      <c r="O38" s="14">
        <f>SUM(E36:F37)-SUM(H36:H37)</f>
        <v>36.299999999999997</v>
      </c>
    </row>
    <row r="41" spans="2:18" ht="26.25" customHeight="1">
      <c r="B41" s="115" t="s">
        <v>42</v>
      </c>
      <c r="C41" s="116"/>
      <c r="D41" s="10"/>
      <c r="E41" s="3"/>
      <c r="F41" s="3"/>
      <c r="G41" s="90"/>
      <c r="H41" s="247"/>
      <c r="I41" s="3"/>
      <c r="J41" s="247"/>
      <c r="K41" s="90"/>
      <c r="L41" s="3"/>
      <c r="M41" s="95"/>
      <c r="N41" s="3"/>
      <c r="O41" s="2"/>
    </row>
    <row r="42" spans="2:18" ht="29.25" customHeight="1">
      <c r="B42" s="104" t="s">
        <v>1</v>
      </c>
      <c r="C42" s="22" t="s">
        <v>2</v>
      </c>
      <c r="D42" s="23" t="s">
        <v>3</v>
      </c>
      <c r="E42" s="22" t="s">
        <v>4</v>
      </c>
      <c r="F42" s="22" t="s">
        <v>5</v>
      </c>
      <c r="G42" s="99" t="s">
        <v>6</v>
      </c>
      <c r="H42" s="248" t="s">
        <v>7</v>
      </c>
      <c r="I42" s="12" t="s">
        <v>8</v>
      </c>
      <c r="J42" s="268" t="s">
        <v>9</v>
      </c>
      <c r="K42" s="91" t="s">
        <v>10</v>
      </c>
      <c r="L42" s="12" t="s">
        <v>11</v>
      </c>
      <c r="M42" s="97"/>
      <c r="N42" s="24" t="s">
        <v>11</v>
      </c>
      <c r="O42" s="5" t="s">
        <v>12</v>
      </c>
      <c r="Q42" s="26" t="s">
        <v>13</v>
      </c>
      <c r="R42" s="26" t="s">
        <v>14</v>
      </c>
    </row>
    <row r="43" spans="2:18" ht="27" customHeight="1">
      <c r="B43" s="127" t="s">
        <v>42</v>
      </c>
      <c r="C43" s="112">
        <v>45671</v>
      </c>
      <c r="D43" s="113" t="s">
        <v>43</v>
      </c>
      <c r="E43" s="114">
        <v>2587.0100000000002</v>
      </c>
      <c r="F43" s="8"/>
      <c r="G43" s="4"/>
      <c r="H43" s="249"/>
      <c r="I43" s="197"/>
      <c r="J43" s="254"/>
      <c r="K43" s="4"/>
      <c r="L43" s="4"/>
      <c r="M43" s="15">
        <v>2587.0100000000002</v>
      </c>
      <c r="N43" s="4">
        <v>45716</v>
      </c>
      <c r="O43" s="8"/>
    </row>
    <row r="44" spans="2:18" ht="15.75" customHeight="1">
      <c r="B44" s="105" t="s">
        <v>16</v>
      </c>
      <c r="C44" s="80"/>
      <c r="D44" s="81"/>
      <c r="E44" s="82"/>
      <c r="F44" s="82"/>
      <c r="G44" s="80">
        <v>45658</v>
      </c>
      <c r="H44" s="250">
        <v>1092</v>
      </c>
      <c r="I44" s="198">
        <v>23250</v>
      </c>
      <c r="J44" s="250">
        <v>1092</v>
      </c>
      <c r="K44" s="80" t="s">
        <v>17</v>
      </c>
      <c r="L44" s="80">
        <v>45724</v>
      </c>
      <c r="M44" s="98"/>
      <c r="N44" s="80"/>
      <c r="O44" s="82"/>
      <c r="P44" s="79"/>
      <c r="Q44" s="79"/>
      <c r="R44" s="79"/>
    </row>
    <row r="45" spans="2:18" ht="15.75" customHeight="1">
      <c r="B45" s="105" t="s">
        <v>16</v>
      </c>
      <c r="C45" s="80"/>
      <c r="D45" s="81"/>
      <c r="E45" s="82"/>
      <c r="F45" s="82"/>
      <c r="G45" s="80">
        <v>45658</v>
      </c>
      <c r="H45" s="250">
        <v>267</v>
      </c>
      <c r="I45" s="198">
        <v>5441</v>
      </c>
      <c r="J45" s="250">
        <v>267</v>
      </c>
      <c r="K45" s="80" t="s">
        <v>17</v>
      </c>
      <c r="L45" s="80">
        <v>45748</v>
      </c>
      <c r="M45" s="98"/>
      <c r="N45" s="80"/>
      <c r="O45" s="82"/>
      <c r="P45" s="79"/>
      <c r="Q45" s="79"/>
      <c r="R45" s="79"/>
    </row>
    <row r="46" spans="2:18" ht="15.75" customHeight="1">
      <c r="B46" s="105" t="s">
        <v>44</v>
      </c>
      <c r="C46" s="80"/>
      <c r="D46" s="81"/>
      <c r="E46" s="82"/>
      <c r="F46" s="82"/>
      <c r="G46" s="80">
        <v>45658</v>
      </c>
      <c r="H46" s="250">
        <v>309</v>
      </c>
      <c r="I46" s="198">
        <v>250411</v>
      </c>
      <c r="J46" s="250">
        <v>309</v>
      </c>
      <c r="K46" s="80" t="s">
        <v>17</v>
      </c>
      <c r="L46" s="80">
        <v>45777</v>
      </c>
      <c r="M46" s="98"/>
      <c r="N46" s="80"/>
      <c r="O46" s="82"/>
      <c r="P46" s="79"/>
      <c r="Q46" s="79"/>
      <c r="R46" s="79"/>
    </row>
    <row r="47" spans="2:18" ht="15.75" customHeight="1">
      <c r="B47" s="119" t="s">
        <v>26</v>
      </c>
      <c r="C47" s="13"/>
      <c r="D47" s="13"/>
      <c r="E47" s="13"/>
      <c r="F47" s="13"/>
      <c r="G47" s="92"/>
      <c r="H47" s="251"/>
      <c r="I47" s="13"/>
      <c r="J47" s="269"/>
      <c r="K47" s="92"/>
      <c r="L47" s="13"/>
      <c r="M47" s="96"/>
      <c r="N47" s="13"/>
      <c r="O47" s="14">
        <f>SUM(E43:F46)-SUM(H43:H46)</f>
        <v>919.01000000000022</v>
      </c>
    </row>
    <row r="50" spans="1:20" ht="27" customHeight="1">
      <c r="B50" s="130" t="s">
        <v>45</v>
      </c>
      <c r="C50" s="131"/>
      <c r="D50" s="10"/>
      <c r="E50" s="3"/>
      <c r="F50" s="3"/>
      <c r="G50" s="90"/>
      <c r="H50" s="247"/>
      <c r="I50" s="3"/>
      <c r="J50" s="247"/>
      <c r="K50" s="90"/>
      <c r="L50" s="3"/>
      <c r="M50" s="95"/>
      <c r="N50" s="3"/>
      <c r="O50" s="2"/>
    </row>
    <row r="51" spans="1:20" ht="30.75" customHeight="1">
      <c r="B51" s="104" t="s">
        <v>1</v>
      </c>
      <c r="C51" s="22" t="s">
        <v>2</v>
      </c>
      <c r="D51" s="23" t="s">
        <v>3</v>
      </c>
      <c r="E51" s="22" t="s">
        <v>4</v>
      </c>
      <c r="F51" s="22" t="s">
        <v>5</v>
      </c>
      <c r="G51" s="99" t="s">
        <v>6</v>
      </c>
      <c r="H51" s="248" t="s">
        <v>7</v>
      </c>
      <c r="I51" s="12" t="s">
        <v>8</v>
      </c>
      <c r="J51" s="268" t="s">
        <v>9</v>
      </c>
      <c r="K51" s="91" t="s">
        <v>10</v>
      </c>
      <c r="L51" s="12" t="s">
        <v>11</v>
      </c>
      <c r="M51" s="97"/>
      <c r="N51" s="24" t="s">
        <v>11</v>
      </c>
      <c r="O51" s="5" t="s">
        <v>12</v>
      </c>
      <c r="Q51" s="26" t="s">
        <v>13</v>
      </c>
      <c r="R51" s="26" t="s">
        <v>14</v>
      </c>
    </row>
    <row r="52" spans="1:20" ht="15.6">
      <c r="A52" s="89"/>
      <c r="B52" s="105" t="s">
        <v>46</v>
      </c>
      <c r="C52" s="4">
        <v>45721</v>
      </c>
      <c r="D52" s="11" t="s">
        <v>47</v>
      </c>
      <c r="E52" s="101">
        <v>8131.4</v>
      </c>
      <c r="F52" s="101"/>
      <c r="G52" s="4"/>
      <c r="H52" s="249"/>
      <c r="I52" s="197"/>
      <c r="J52" s="254"/>
      <c r="K52" s="4"/>
      <c r="L52" s="4"/>
      <c r="M52" s="8">
        <v>8131.4</v>
      </c>
      <c r="N52" s="4">
        <v>45726</v>
      </c>
      <c r="O52" s="8"/>
      <c r="Q52" t="s">
        <v>48</v>
      </c>
    </row>
    <row r="53" spans="1:20" ht="18" customHeight="1">
      <c r="A53" s="89"/>
      <c r="B53" s="128" t="s">
        <v>49</v>
      </c>
      <c r="C53" s="4">
        <v>45824</v>
      </c>
      <c r="D53" s="11" t="s">
        <v>50</v>
      </c>
      <c r="E53" s="101">
        <v>8131.4</v>
      </c>
      <c r="F53" s="120"/>
      <c r="G53" s="4"/>
      <c r="H53" s="249"/>
      <c r="I53" s="197"/>
      <c r="J53" s="254"/>
      <c r="K53" s="4"/>
      <c r="L53" s="4"/>
      <c r="M53" s="8"/>
      <c r="N53" s="4"/>
      <c r="O53" s="8"/>
    </row>
    <row r="54" spans="1:20" ht="15.75" customHeight="1">
      <c r="A54" s="89"/>
      <c r="B54" s="105" t="s">
        <v>16</v>
      </c>
      <c r="C54" s="80"/>
      <c r="D54" s="81"/>
      <c r="E54" s="121"/>
      <c r="F54" s="121"/>
      <c r="G54" s="80">
        <v>45726</v>
      </c>
      <c r="H54" s="255">
        <v>5676</v>
      </c>
      <c r="I54" s="200">
        <v>1838</v>
      </c>
      <c r="J54" s="255">
        <v>5676</v>
      </c>
      <c r="K54" s="80" t="s">
        <v>17</v>
      </c>
      <c r="L54" s="80">
        <v>45764</v>
      </c>
      <c r="M54" s="98"/>
      <c r="N54" s="80"/>
      <c r="O54" s="82"/>
      <c r="P54" s="79"/>
      <c r="Q54" s="79"/>
      <c r="R54" s="79"/>
    </row>
    <row r="55" spans="1:20" ht="30" customHeight="1">
      <c r="A55" s="89"/>
      <c r="B55" s="105" t="s">
        <v>51</v>
      </c>
      <c r="C55" s="80"/>
      <c r="D55" s="81"/>
      <c r="E55" s="121"/>
      <c r="F55" s="121"/>
      <c r="G55" s="80">
        <v>45769</v>
      </c>
      <c r="H55" s="255">
        <v>200</v>
      </c>
      <c r="I55" s="200">
        <v>1903</v>
      </c>
      <c r="J55" s="255">
        <v>200</v>
      </c>
      <c r="K55" s="80" t="s">
        <v>17</v>
      </c>
      <c r="L55" s="80">
        <v>45769</v>
      </c>
      <c r="M55" s="98"/>
      <c r="N55" s="80"/>
      <c r="O55" s="82"/>
      <c r="P55" s="79"/>
      <c r="Q55" s="79"/>
      <c r="R55" s="79"/>
    </row>
    <row r="56" spans="1:20" ht="15.6">
      <c r="A56" s="89"/>
      <c r="B56" s="105" t="s">
        <v>52</v>
      </c>
      <c r="C56" s="80"/>
      <c r="D56" s="81"/>
      <c r="E56" s="121"/>
      <c r="F56" s="121"/>
      <c r="G56" s="80">
        <v>45726</v>
      </c>
      <c r="H56" s="255">
        <v>1404.49</v>
      </c>
      <c r="I56" s="200">
        <v>1554855</v>
      </c>
      <c r="J56" s="255">
        <v>1404.49</v>
      </c>
      <c r="K56" s="80" t="s">
        <v>17</v>
      </c>
      <c r="L56" s="80">
        <v>45744</v>
      </c>
      <c r="M56" s="98"/>
      <c r="N56" s="80"/>
      <c r="O56" s="82"/>
      <c r="P56" s="79"/>
      <c r="Q56" s="79"/>
      <c r="R56" s="79"/>
    </row>
    <row r="57" spans="1:20" ht="15.75" customHeight="1">
      <c r="A57" s="89"/>
      <c r="B57" s="105" t="s">
        <v>53</v>
      </c>
      <c r="C57" s="80"/>
      <c r="D57" s="81"/>
      <c r="E57" s="121"/>
      <c r="F57" s="121"/>
      <c r="G57" s="80">
        <v>45726</v>
      </c>
      <c r="H57" s="255">
        <v>755.9</v>
      </c>
      <c r="I57" s="200" t="s">
        <v>54</v>
      </c>
      <c r="J57" s="255">
        <v>755.9</v>
      </c>
      <c r="K57" s="80" t="s">
        <v>17</v>
      </c>
      <c r="L57" s="80">
        <v>45772</v>
      </c>
      <c r="M57" s="98"/>
      <c r="N57" s="80"/>
      <c r="O57" s="82"/>
      <c r="P57" s="79"/>
      <c r="Q57" s="79" t="s">
        <v>55</v>
      </c>
      <c r="R57" s="79"/>
      <c r="T57">
        <v>1072.3</v>
      </c>
    </row>
    <row r="58" spans="1:20" ht="15.75" customHeight="1">
      <c r="A58" s="89"/>
      <c r="B58" s="105" t="s">
        <v>56</v>
      </c>
      <c r="C58" s="80"/>
      <c r="D58" s="81"/>
      <c r="E58" s="121"/>
      <c r="F58" s="121"/>
      <c r="G58" s="80">
        <v>45726</v>
      </c>
      <c r="H58" s="255">
        <v>232.5</v>
      </c>
      <c r="I58" s="200">
        <v>260177404</v>
      </c>
      <c r="J58" s="255">
        <v>232.5</v>
      </c>
      <c r="K58" s="80" t="s">
        <v>17</v>
      </c>
      <c r="L58" s="80">
        <v>45759</v>
      </c>
      <c r="M58" s="98"/>
      <c r="N58" s="80"/>
      <c r="O58" s="82"/>
      <c r="P58" s="79"/>
      <c r="Q58" s="79"/>
      <c r="R58" s="79"/>
    </row>
    <row r="59" spans="1:20" ht="15.75" customHeight="1">
      <c r="A59" s="89"/>
      <c r="B59" s="105" t="s">
        <v>57</v>
      </c>
      <c r="C59" s="80"/>
      <c r="D59" s="81"/>
      <c r="E59" s="121"/>
      <c r="F59" s="121"/>
      <c r="G59" s="80">
        <v>45726</v>
      </c>
      <c r="H59" s="255">
        <v>3485</v>
      </c>
      <c r="I59" s="200" t="s">
        <v>58</v>
      </c>
      <c r="J59" s="255">
        <v>3485</v>
      </c>
      <c r="K59" s="80" t="s">
        <v>17</v>
      </c>
      <c r="L59" s="80">
        <v>45825</v>
      </c>
      <c r="M59" s="98"/>
      <c r="N59" s="80"/>
      <c r="O59" s="82"/>
      <c r="P59" s="79"/>
      <c r="Q59" s="79"/>
      <c r="R59" s="79"/>
    </row>
    <row r="60" spans="1:20" ht="15.75" customHeight="1">
      <c r="B60" s="119" t="s">
        <v>26</v>
      </c>
      <c r="C60" s="13"/>
      <c r="D60" s="13"/>
      <c r="E60" s="13"/>
      <c r="F60" s="13"/>
      <c r="G60" s="92"/>
      <c r="H60" s="251"/>
      <c r="I60" s="13"/>
      <c r="J60" s="269"/>
      <c r="K60" s="92"/>
      <c r="L60" s="13"/>
      <c r="M60" s="96"/>
      <c r="N60" s="13"/>
      <c r="O60" s="14">
        <f>SUM(E52:F59)-SUM(H52:H59)</f>
        <v>4508.91</v>
      </c>
    </row>
    <row r="63" spans="1:20" ht="28.5" customHeight="1">
      <c r="B63" s="115" t="s">
        <v>59</v>
      </c>
      <c r="C63" s="116"/>
      <c r="D63" s="10"/>
      <c r="E63" s="3"/>
      <c r="F63" s="3"/>
      <c r="G63" s="90"/>
      <c r="H63" s="247"/>
      <c r="I63" s="3"/>
      <c r="J63" s="247"/>
      <c r="K63" s="90"/>
      <c r="L63" s="3"/>
      <c r="M63" s="95"/>
      <c r="N63" s="3"/>
      <c r="O63" s="2"/>
    </row>
    <row r="64" spans="1:20" ht="29.25" customHeight="1">
      <c r="B64" s="104" t="s">
        <v>1</v>
      </c>
      <c r="C64" s="22" t="s">
        <v>2</v>
      </c>
      <c r="D64" s="23" t="s">
        <v>3</v>
      </c>
      <c r="E64" s="22" t="s">
        <v>4</v>
      </c>
      <c r="F64" s="22" t="s">
        <v>5</v>
      </c>
      <c r="G64" s="99" t="s">
        <v>6</v>
      </c>
      <c r="H64" s="248" t="s">
        <v>7</v>
      </c>
      <c r="I64" s="12" t="s">
        <v>8</v>
      </c>
      <c r="J64" s="268" t="s">
        <v>9</v>
      </c>
      <c r="K64" s="91" t="s">
        <v>10</v>
      </c>
      <c r="L64" s="12" t="s">
        <v>11</v>
      </c>
      <c r="M64" s="97"/>
      <c r="N64" s="24" t="s">
        <v>11</v>
      </c>
      <c r="O64" s="5" t="s">
        <v>12</v>
      </c>
      <c r="Q64" s="26" t="s">
        <v>13</v>
      </c>
      <c r="R64" s="26" t="s">
        <v>14</v>
      </c>
    </row>
    <row r="65" spans="2:18" ht="15.75" customHeight="1">
      <c r="B65" s="105" t="s">
        <v>59</v>
      </c>
      <c r="C65" s="4">
        <v>45737</v>
      </c>
      <c r="D65" s="11" t="s">
        <v>60</v>
      </c>
      <c r="E65" s="8">
        <v>4150.0200000000004</v>
      </c>
      <c r="F65" s="8"/>
      <c r="G65" s="4"/>
      <c r="H65" s="249"/>
      <c r="I65" s="197"/>
      <c r="J65" s="254"/>
      <c r="K65" s="4"/>
      <c r="L65" s="4"/>
      <c r="M65" s="8">
        <v>4150.0200000000004</v>
      </c>
      <c r="N65" s="4">
        <v>45765</v>
      </c>
      <c r="O65" s="8"/>
    </row>
    <row r="66" spans="2:18" ht="15.75" customHeight="1">
      <c r="B66" s="105" t="s">
        <v>61</v>
      </c>
      <c r="C66" s="80"/>
      <c r="D66" s="81"/>
      <c r="E66" s="82"/>
      <c r="F66" s="82"/>
      <c r="G66" s="80"/>
      <c r="H66" s="250">
        <v>2526</v>
      </c>
      <c r="I66" s="198">
        <v>50058</v>
      </c>
      <c r="J66" s="250">
        <v>2526</v>
      </c>
      <c r="K66" s="80" t="s">
        <v>17</v>
      </c>
      <c r="L66" s="80">
        <v>45826</v>
      </c>
      <c r="M66" s="98"/>
      <c r="N66" s="80"/>
      <c r="O66" s="82"/>
      <c r="P66" s="79"/>
      <c r="Q66" s="79" t="s">
        <v>62</v>
      </c>
      <c r="R66" s="79"/>
    </row>
    <row r="67" spans="2:18" ht="15.75" customHeight="1">
      <c r="B67" s="105" t="s">
        <v>24</v>
      </c>
      <c r="C67" s="80"/>
      <c r="D67" s="81"/>
      <c r="E67" s="82"/>
      <c r="F67" s="82"/>
      <c r="G67" s="80"/>
      <c r="H67" s="250">
        <v>600</v>
      </c>
      <c r="I67" s="198">
        <v>250305</v>
      </c>
      <c r="J67" s="250">
        <v>600</v>
      </c>
      <c r="K67" s="80" t="s">
        <v>63</v>
      </c>
      <c r="L67" s="80">
        <v>45744</v>
      </c>
      <c r="M67" s="98"/>
      <c r="N67" s="80"/>
      <c r="O67" s="82"/>
      <c r="P67" s="79"/>
      <c r="Q67" s="79" t="s">
        <v>64</v>
      </c>
      <c r="R67" s="79"/>
    </row>
    <row r="68" spans="2:18" ht="15.75" customHeight="1">
      <c r="B68" s="119" t="s">
        <v>26</v>
      </c>
      <c r="C68" s="13"/>
      <c r="D68" s="13"/>
      <c r="E68" s="13"/>
      <c r="F68" s="13"/>
      <c r="G68" s="92"/>
      <c r="H68" s="251"/>
      <c r="I68" s="13"/>
      <c r="J68" s="269"/>
      <c r="K68" s="92"/>
      <c r="L68" s="13"/>
      <c r="M68" s="96"/>
      <c r="N68" s="13"/>
      <c r="O68" s="14">
        <f>SUM(E65:F67)-SUM(H65:H67)</f>
        <v>1024.0200000000004</v>
      </c>
    </row>
    <row r="71" spans="2:18" ht="23.25" customHeight="1">
      <c r="B71" s="130" t="s">
        <v>0</v>
      </c>
      <c r="C71" s="131"/>
      <c r="D71" s="10"/>
      <c r="E71" s="3"/>
      <c r="F71" s="3"/>
      <c r="G71" s="90"/>
      <c r="H71" s="247"/>
      <c r="I71" s="3"/>
      <c r="J71" s="247"/>
      <c r="K71" s="90"/>
      <c r="L71" s="3"/>
      <c r="M71" s="95"/>
      <c r="N71" s="3"/>
      <c r="O71" s="2"/>
    </row>
    <row r="72" spans="2:18" ht="30" customHeight="1">
      <c r="B72" s="104" t="s">
        <v>1</v>
      </c>
      <c r="C72" s="22" t="s">
        <v>2</v>
      </c>
      <c r="D72" s="23" t="s">
        <v>3</v>
      </c>
      <c r="E72" s="22" t="s">
        <v>4</v>
      </c>
      <c r="F72" s="22" t="s">
        <v>5</v>
      </c>
      <c r="G72" s="99" t="s">
        <v>6</v>
      </c>
      <c r="H72" s="248" t="s">
        <v>7</v>
      </c>
      <c r="I72" s="12" t="s">
        <v>8</v>
      </c>
      <c r="J72" s="268" t="s">
        <v>9</v>
      </c>
      <c r="K72" s="91" t="s">
        <v>10</v>
      </c>
      <c r="L72" s="12" t="s">
        <v>11</v>
      </c>
      <c r="M72" s="97"/>
      <c r="N72" s="24" t="s">
        <v>11</v>
      </c>
      <c r="O72" s="5" t="s">
        <v>12</v>
      </c>
      <c r="Q72" s="26" t="s">
        <v>13</v>
      </c>
      <c r="R72" s="26" t="s">
        <v>14</v>
      </c>
    </row>
    <row r="73" spans="2:18" ht="15.75" customHeight="1">
      <c r="B73" s="105" t="s">
        <v>0</v>
      </c>
      <c r="C73" s="4">
        <v>45790</v>
      </c>
      <c r="D73" s="11">
        <v>2500019</v>
      </c>
      <c r="E73" s="8">
        <v>4010.92</v>
      </c>
      <c r="F73" s="8"/>
      <c r="G73" s="4"/>
      <c r="H73" s="249"/>
      <c r="I73" s="197"/>
      <c r="J73" s="254"/>
      <c r="K73" s="4"/>
      <c r="L73" s="4"/>
      <c r="M73" s="15">
        <v>4010.92</v>
      </c>
      <c r="N73" s="4">
        <v>45841</v>
      </c>
      <c r="O73" s="8"/>
    </row>
    <row r="74" spans="2:18" ht="15.75" customHeight="1">
      <c r="B74" s="105" t="s">
        <v>22</v>
      </c>
      <c r="C74" s="80"/>
      <c r="D74" s="81"/>
      <c r="E74" s="82"/>
      <c r="F74" s="82"/>
      <c r="G74" s="80">
        <v>45782</v>
      </c>
      <c r="H74" s="250">
        <v>310</v>
      </c>
      <c r="I74" s="122">
        <v>8018849</v>
      </c>
      <c r="J74" s="250">
        <v>310</v>
      </c>
      <c r="K74" s="80" t="s">
        <v>17</v>
      </c>
      <c r="L74" s="80">
        <v>45790</v>
      </c>
      <c r="M74" s="98"/>
      <c r="N74" s="80"/>
      <c r="O74" s="82"/>
      <c r="P74" s="79"/>
      <c r="Q74" s="79" t="s">
        <v>65</v>
      </c>
      <c r="R74" s="79"/>
    </row>
    <row r="75" spans="2:18" ht="15.75" customHeight="1">
      <c r="B75" s="105" t="s">
        <v>16</v>
      </c>
      <c r="C75" s="80"/>
      <c r="D75" s="81"/>
      <c r="E75" s="82"/>
      <c r="F75" s="82"/>
      <c r="G75" s="80">
        <v>45782</v>
      </c>
      <c r="H75" s="250">
        <v>1538</v>
      </c>
      <c r="I75" s="122">
        <v>1837</v>
      </c>
      <c r="J75" s="250">
        <v>1538</v>
      </c>
      <c r="K75" s="80" t="s">
        <v>17</v>
      </c>
      <c r="L75" s="80">
        <v>45765</v>
      </c>
      <c r="M75" s="98"/>
      <c r="N75" s="80"/>
      <c r="O75" s="82"/>
      <c r="P75" s="79"/>
      <c r="Q75" s="79" t="s">
        <v>65</v>
      </c>
      <c r="R75" s="79"/>
    </row>
    <row r="76" spans="2:18" ht="15.75" customHeight="1">
      <c r="B76" s="105" t="s">
        <v>24</v>
      </c>
      <c r="C76" s="80"/>
      <c r="D76" s="81"/>
      <c r="E76" s="82"/>
      <c r="F76" s="82"/>
      <c r="G76" s="80">
        <v>45782</v>
      </c>
      <c r="H76" s="250">
        <v>650</v>
      </c>
      <c r="I76" s="122">
        <v>250509</v>
      </c>
      <c r="J76" s="250">
        <v>650</v>
      </c>
      <c r="K76" s="80" t="s">
        <v>17</v>
      </c>
      <c r="L76" s="80">
        <v>45793</v>
      </c>
      <c r="M76" s="98"/>
      <c r="N76" s="80"/>
      <c r="O76" s="82"/>
      <c r="P76" s="79"/>
      <c r="Q76" s="79" t="s">
        <v>64</v>
      </c>
      <c r="R76" s="79"/>
    </row>
    <row r="77" spans="2:18" ht="15.75" customHeight="1">
      <c r="B77" s="119" t="s">
        <v>26</v>
      </c>
      <c r="C77" s="13"/>
      <c r="D77" s="13"/>
      <c r="E77" s="13"/>
      <c r="F77" s="13"/>
      <c r="G77" s="92"/>
      <c r="H77" s="251"/>
      <c r="I77" s="13"/>
      <c r="J77" s="269"/>
      <c r="K77" s="92"/>
      <c r="L77" s="13"/>
      <c r="M77" s="96"/>
      <c r="N77" s="13"/>
      <c r="O77" s="14">
        <f>SUM(E73:F76)-SUM(J73:J76)</f>
        <v>1512.92</v>
      </c>
    </row>
    <row r="80" spans="2:18" ht="32.25" customHeight="1">
      <c r="B80" s="115" t="s">
        <v>59</v>
      </c>
      <c r="C80" s="116"/>
      <c r="D80" s="10"/>
      <c r="E80" s="3"/>
      <c r="F80" s="3"/>
      <c r="G80" s="90"/>
      <c r="H80" s="247"/>
      <c r="I80" s="3"/>
      <c r="J80" s="247"/>
      <c r="K80" s="90"/>
      <c r="L80" s="3"/>
      <c r="M80" s="95"/>
      <c r="N80" s="3"/>
      <c r="O80" s="2"/>
    </row>
    <row r="81" spans="2:18" ht="26.25" customHeight="1">
      <c r="B81" s="104" t="s">
        <v>1</v>
      </c>
      <c r="C81" s="22" t="s">
        <v>2</v>
      </c>
      <c r="D81" s="23" t="s">
        <v>3</v>
      </c>
      <c r="E81" s="22" t="s">
        <v>4</v>
      </c>
      <c r="F81" s="22" t="s">
        <v>5</v>
      </c>
      <c r="G81" s="99" t="s">
        <v>6</v>
      </c>
      <c r="H81" s="248" t="s">
        <v>7</v>
      </c>
      <c r="I81" s="12" t="s">
        <v>8</v>
      </c>
      <c r="J81" s="268" t="s">
        <v>9</v>
      </c>
      <c r="K81" s="91" t="s">
        <v>10</v>
      </c>
      <c r="L81" s="12" t="s">
        <v>11</v>
      </c>
      <c r="M81" s="97"/>
      <c r="N81" s="24" t="s">
        <v>11</v>
      </c>
      <c r="O81" s="5" t="s">
        <v>12</v>
      </c>
      <c r="Q81" s="26" t="s">
        <v>13</v>
      </c>
      <c r="R81" s="26" t="s">
        <v>14</v>
      </c>
    </row>
    <row r="82" spans="2:18" ht="15.75" customHeight="1">
      <c r="B82" s="105" t="s">
        <v>59</v>
      </c>
      <c r="C82" s="4">
        <v>45793</v>
      </c>
      <c r="D82" s="11">
        <v>2500018</v>
      </c>
      <c r="E82" s="8">
        <v>4977.95</v>
      </c>
      <c r="F82" s="8"/>
      <c r="G82" s="4"/>
      <c r="H82" s="249"/>
      <c r="I82" s="197"/>
      <c r="J82" s="254"/>
      <c r="K82" s="4"/>
      <c r="L82" s="4"/>
      <c r="M82" s="8">
        <v>4977.95</v>
      </c>
      <c r="N82" s="4">
        <v>45821</v>
      </c>
      <c r="O82" s="8"/>
    </row>
    <row r="83" spans="2:18" ht="29.25" customHeight="1">
      <c r="B83" s="105" t="s">
        <v>66</v>
      </c>
      <c r="C83" s="4"/>
      <c r="D83" s="11"/>
      <c r="E83" s="8"/>
      <c r="F83" s="8"/>
      <c r="G83" s="4">
        <v>45778</v>
      </c>
      <c r="H83" s="254">
        <v>1657.02</v>
      </c>
      <c r="I83" s="201">
        <v>4316475</v>
      </c>
      <c r="J83" s="254">
        <v>1657.02</v>
      </c>
      <c r="K83" s="4" t="s">
        <v>17</v>
      </c>
      <c r="L83" s="123">
        <v>45772</v>
      </c>
      <c r="M83" s="15"/>
      <c r="N83" s="4"/>
      <c r="O83" s="8"/>
      <c r="Q83" t="s">
        <v>67</v>
      </c>
    </row>
    <row r="84" spans="2:18" ht="15.75" customHeight="1">
      <c r="B84" s="105" t="s">
        <v>61</v>
      </c>
      <c r="C84" s="80"/>
      <c r="D84" s="81"/>
      <c r="E84" s="82"/>
      <c r="F84" s="82"/>
      <c r="G84" s="80">
        <v>45779</v>
      </c>
      <c r="H84" s="250">
        <v>1372.8</v>
      </c>
      <c r="I84" s="198">
        <v>15716</v>
      </c>
      <c r="J84" s="250">
        <v>1372.8</v>
      </c>
      <c r="K84" s="80" t="s">
        <v>17</v>
      </c>
      <c r="L84" s="80">
        <v>45769</v>
      </c>
      <c r="M84" s="98"/>
      <c r="N84" s="80"/>
      <c r="O84" s="82"/>
      <c r="P84" s="79"/>
      <c r="Q84" s="79" t="s">
        <v>68</v>
      </c>
      <c r="R84" s="79"/>
    </row>
    <row r="85" spans="2:18" ht="15.75" customHeight="1">
      <c r="B85" s="105" t="s">
        <v>24</v>
      </c>
      <c r="C85" s="80"/>
      <c r="D85" s="81"/>
      <c r="E85" s="82"/>
      <c r="F85" s="82"/>
      <c r="G85" s="4">
        <v>45778</v>
      </c>
      <c r="H85" s="250">
        <v>785</v>
      </c>
      <c r="I85" s="198">
        <v>250509</v>
      </c>
      <c r="J85" s="250">
        <v>785</v>
      </c>
      <c r="K85" s="80" t="s">
        <v>17</v>
      </c>
      <c r="L85" s="80">
        <v>45793</v>
      </c>
      <c r="M85" s="98"/>
      <c r="N85" s="80"/>
      <c r="O85" s="82"/>
      <c r="P85" s="79"/>
      <c r="Q85" s="79" t="s">
        <v>69</v>
      </c>
      <c r="R85" s="79"/>
    </row>
    <row r="86" spans="2:18" ht="15.75" customHeight="1">
      <c r="B86" s="119" t="s">
        <v>26</v>
      </c>
      <c r="C86" s="13"/>
      <c r="D86" s="13"/>
      <c r="E86" s="13"/>
      <c r="F86" s="13"/>
      <c r="G86" s="92"/>
      <c r="H86" s="251"/>
      <c r="I86" s="13"/>
      <c r="J86" s="269"/>
      <c r="K86" s="92"/>
      <c r="L86" s="13"/>
      <c r="M86" s="96"/>
      <c r="N86" s="13"/>
      <c r="O86" s="14">
        <f>SUM(E82:F85)-SUM(H82:H85)</f>
        <v>1163.1300000000001</v>
      </c>
    </row>
    <row r="89" spans="2:18" ht="27.75" customHeight="1">
      <c r="B89" s="117" t="s">
        <v>70</v>
      </c>
      <c r="C89" s="116"/>
      <c r="D89" s="10"/>
      <c r="E89" s="3"/>
      <c r="F89" s="3"/>
      <c r="G89" s="90"/>
      <c r="H89" s="247"/>
      <c r="I89" s="3"/>
      <c r="J89" s="247"/>
      <c r="K89" s="90"/>
      <c r="L89" s="3"/>
      <c r="M89" s="95"/>
      <c r="N89" s="3"/>
      <c r="O89" s="2"/>
    </row>
    <row r="90" spans="2:18" ht="34.5" customHeight="1">
      <c r="B90" s="104" t="s">
        <v>1</v>
      </c>
      <c r="C90" s="22" t="s">
        <v>2</v>
      </c>
      <c r="D90" s="23" t="s">
        <v>3</v>
      </c>
      <c r="E90" s="22" t="s">
        <v>4</v>
      </c>
      <c r="F90" s="22" t="s">
        <v>5</v>
      </c>
      <c r="G90" s="99" t="s">
        <v>6</v>
      </c>
      <c r="H90" s="248" t="s">
        <v>7</v>
      </c>
      <c r="I90" s="12" t="s">
        <v>8</v>
      </c>
      <c r="J90" s="268" t="s">
        <v>9</v>
      </c>
      <c r="K90" s="91" t="s">
        <v>10</v>
      </c>
      <c r="L90" s="12" t="s">
        <v>11</v>
      </c>
      <c r="M90" s="97"/>
      <c r="N90" s="24" t="s">
        <v>11</v>
      </c>
      <c r="O90" s="5" t="s">
        <v>12</v>
      </c>
      <c r="Q90" s="26" t="s">
        <v>13</v>
      </c>
      <c r="R90" s="26" t="s">
        <v>14</v>
      </c>
    </row>
    <row r="91" spans="2:18" ht="16.5" customHeight="1">
      <c r="B91" s="105" t="s">
        <v>71</v>
      </c>
      <c r="C91" s="4">
        <v>45763</v>
      </c>
      <c r="D91" s="11">
        <v>2500013</v>
      </c>
      <c r="E91" s="8">
        <v>1400</v>
      </c>
      <c r="F91" s="8"/>
      <c r="G91" s="4"/>
      <c r="H91" s="249"/>
      <c r="I91" s="197"/>
      <c r="J91" s="254"/>
      <c r="K91" s="4" t="s">
        <v>17</v>
      </c>
      <c r="L91" s="4">
        <v>45814</v>
      </c>
      <c r="M91" s="8">
        <v>1400</v>
      </c>
      <c r="N91" s="4">
        <v>45814</v>
      </c>
      <c r="O91" s="8"/>
      <c r="Q91" t="s">
        <v>72</v>
      </c>
    </row>
    <row r="92" spans="2:18" ht="18.75" customHeight="1">
      <c r="B92" s="105" t="s">
        <v>16</v>
      </c>
      <c r="C92" s="80"/>
      <c r="D92" s="81"/>
      <c r="E92" s="82"/>
      <c r="F92" s="82"/>
      <c r="G92" s="80">
        <v>45790</v>
      </c>
      <c r="H92" s="250">
        <v>960</v>
      </c>
      <c r="I92" s="124" t="s">
        <v>73</v>
      </c>
      <c r="J92" s="250">
        <v>960</v>
      </c>
      <c r="K92" s="80" t="s">
        <v>17</v>
      </c>
      <c r="L92" s="80">
        <v>45799</v>
      </c>
      <c r="M92" s="98"/>
      <c r="N92" s="80"/>
      <c r="O92" s="82"/>
      <c r="P92" s="79"/>
      <c r="Q92" s="79" t="s">
        <v>74</v>
      </c>
      <c r="R92" s="79"/>
    </row>
    <row r="93" spans="2:18" ht="15.75" customHeight="1">
      <c r="B93" s="119" t="s">
        <v>26</v>
      </c>
      <c r="C93" s="13"/>
      <c r="D93" s="13"/>
      <c r="E93" s="13"/>
      <c r="F93" s="13"/>
      <c r="G93" s="92"/>
      <c r="H93" s="251"/>
      <c r="I93" s="13"/>
      <c r="J93" s="269"/>
      <c r="K93" s="92"/>
      <c r="L93" s="13"/>
      <c r="M93" s="96"/>
      <c r="N93" s="13"/>
      <c r="O93" s="14">
        <f>SUM(E91:F92)-SUM(H91:H92)</f>
        <v>440</v>
      </c>
    </row>
    <row r="96" spans="2:18" ht="27" customHeight="1">
      <c r="B96" s="225" t="s">
        <v>75</v>
      </c>
      <c r="C96" s="7"/>
      <c r="D96" s="10"/>
      <c r="E96" s="3"/>
      <c r="F96" s="3"/>
      <c r="G96" s="90"/>
      <c r="H96" s="247"/>
      <c r="I96" s="3"/>
      <c r="J96" s="247"/>
      <c r="K96" s="90"/>
      <c r="L96" s="3"/>
      <c r="M96" s="95"/>
      <c r="N96" s="3"/>
      <c r="O96" s="2"/>
    </row>
    <row r="97" spans="1:18" ht="27.75" customHeight="1">
      <c r="B97" s="104" t="s">
        <v>1</v>
      </c>
      <c r="C97" s="22" t="s">
        <v>2</v>
      </c>
      <c r="D97" s="23" t="s">
        <v>3</v>
      </c>
      <c r="E97" s="22" t="s">
        <v>4</v>
      </c>
      <c r="F97" s="22" t="s">
        <v>5</v>
      </c>
      <c r="G97" s="99" t="s">
        <v>6</v>
      </c>
      <c r="H97" s="248" t="s">
        <v>7</v>
      </c>
      <c r="I97" s="12" t="s">
        <v>8</v>
      </c>
      <c r="J97" s="268" t="s">
        <v>9</v>
      </c>
      <c r="K97" s="91" t="s">
        <v>10</v>
      </c>
      <c r="L97" s="12" t="s">
        <v>11</v>
      </c>
      <c r="M97" s="97" t="s">
        <v>76</v>
      </c>
      <c r="N97" s="24" t="s">
        <v>11</v>
      </c>
      <c r="O97" s="5" t="s">
        <v>12</v>
      </c>
      <c r="Q97" s="26" t="s">
        <v>13</v>
      </c>
      <c r="R97" s="26" t="s">
        <v>14</v>
      </c>
    </row>
    <row r="98" spans="1:18" ht="27.75" customHeight="1">
      <c r="B98" s="105" t="s">
        <v>77</v>
      </c>
      <c r="C98" s="4">
        <v>45770</v>
      </c>
      <c r="D98" s="11">
        <v>2500017</v>
      </c>
      <c r="E98" s="8">
        <v>3686.07</v>
      </c>
      <c r="F98" s="8"/>
      <c r="G98" s="4"/>
      <c r="H98" s="249"/>
      <c r="I98" s="197"/>
      <c r="J98" s="254"/>
      <c r="K98" s="4" t="s">
        <v>32</v>
      </c>
      <c r="L98" s="4">
        <v>45791</v>
      </c>
      <c r="M98" s="8" t="s">
        <v>32</v>
      </c>
      <c r="N98" s="4">
        <v>45791</v>
      </c>
      <c r="O98" s="8"/>
      <c r="Q98" s="79" t="s">
        <v>68</v>
      </c>
    </row>
    <row r="99" spans="1:18" ht="27.75" customHeight="1">
      <c r="B99" s="211" t="s">
        <v>78</v>
      </c>
      <c r="C99" s="4">
        <v>45908</v>
      </c>
      <c r="D99" s="11">
        <v>2536</v>
      </c>
      <c r="E99" s="8">
        <v>3686.07</v>
      </c>
      <c r="F99" s="8"/>
      <c r="G99" s="4"/>
      <c r="H99" s="249"/>
      <c r="I99" s="197"/>
      <c r="J99" s="254"/>
      <c r="K99" s="4"/>
      <c r="L99" s="4"/>
      <c r="M99" s="15" t="s">
        <v>32</v>
      </c>
      <c r="N99" s="4">
        <v>45927</v>
      </c>
      <c r="O99" s="8"/>
    </row>
    <row r="100" spans="1:18" ht="15.75" customHeight="1">
      <c r="A100" s="86"/>
      <c r="B100" s="211" t="s">
        <v>16</v>
      </c>
      <c r="C100" s="80"/>
      <c r="D100" s="81"/>
      <c r="E100" s="82"/>
      <c r="F100" s="82"/>
      <c r="G100" s="80">
        <v>45778</v>
      </c>
      <c r="H100" s="250">
        <v>2884</v>
      </c>
      <c r="I100" s="202" t="s">
        <v>79</v>
      </c>
      <c r="J100" s="250">
        <v>2884</v>
      </c>
      <c r="K100" s="80" t="s">
        <v>17</v>
      </c>
      <c r="L100" s="80">
        <v>45831</v>
      </c>
      <c r="M100" s="98"/>
      <c r="N100" s="80"/>
      <c r="O100" s="82"/>
      <c r="P100" s="79"/>
      <c r="Q100" s="79"/>
      <c r="R100" s="79"/>
    </row>
    <row r="101" spans="1:18" ht="15.75" customHeight="1">
      <c r="A101" s="86"/>
      <c r="B101" s="211" t="s">
        <v>80</v>
      </c>
      <c r="C101" s="80"/>
      <c r="D101" s="81"/>
      <c r="E101" s="82"/>
      <c r="F101" s="82"/>
      <c r="G101" s="80">
        <v>45778</v>
      </c>
      <c r="H101" s="250">
        <v>636.25</v>
      </c>
      <c r="I101" s="202" t="s">
        <v>81</v>
      </c>
      <c r="J101" s="250">
        <v>636.25</v>
      </c>
      <c r="K101" s="80" t="s">
        <v>17</v>
      </c>
      <c r="L101" s="80">
        <v>45834</v>
      </c>
      <c r="M101" s="98"/>
      <c r="N101" s="80"/>
      <c r="O101" s="82"/>
      <c r="P101" s="79"/>
      <c r="Q101" s="79"/>
      <c r="R101" s="79"/>
    </row>
    <row r="102" spans="1:18" ht="15.75" customHeight="1">
      <c r="A102" s="86"/>
      <c r="B102" s="211" t="s">
        <v>82</v>
      </c>
      <c r="C102" s="80"/>
      <c r="D102" s="81"/>
      <c r="E102" s="82"/>
      <c r="F102" s="82"/>
      <c r="G102" s="80">
        <v>45778</v>
      </c>
      <c r="H102" s="250">
        <v>1507.08</v>
      </c>
      <c r="I102" t="s">
        <v>83</v>
      </c>
      <c r="J102" s="250">
        <v>1507.08</v>
      </c>
      <c r="K102" s="80" t="s">
        <v>17</v>
      </c>
      <c r="L102" s="80">
        <v>45854</v>
      </c>
      <c r="M102" s="98"/>
      <c r="N102" s="80"/>
      <c r="O102" s="82"/>
      <c r="P102" s="79"/>
      <c r="Q102" s="79"/>
      <c r="R102" s="79"/>
    </row>
    <row r="103" spans="1:18" ht="15.75" customHeight="1">
      <c r="A103" s="79"/>
      <c r="B103" s="211" t="s">
        <v>84</v>
      </c>
      <c r="C103" s="80"/>
      <c r="D103" s="81"/>
      <c r="E103" s="82"/>
      <c r="F103" s="82"/>
      <c r="G103" s="80">
        <v>45778</v>
      </c>
      <c r="H103" s="250">
        <v>899</v>
      </c>
      <c r="I103" t="s">
        <v>85</v>
      </c>
      <c r="J103" s="250">
        <v>899</v>
      </c>
      <c r="K103" s="80" t="s">
        <v>17</v>
      </c>
      <c r="L103" s="80">
        <v>45882</v>
      </c>
      <c r="M103" s="98"/>
      <c r="N103" s="80"/>
      <c r="O103" s="82"/>
      <c r="P103" s="79"/>
      <c r="Q103" s="79"/>
      <c r="R103" s="79"/>
    </row>
    <row r="104" spans="1:18" ht="15.75" customHeight="1">
      <c r="B104" s="119" t="s">
        <v>26</v>
      </c>
      <c r="C104" s="13"/>
      <c r="D104" s="13"/>
      <c r="E104" s="13"/>
      <c r="F104" s="13"/>
      <c r="G104" s="92"/>
      <c r="H104" s="251"/>
      <c r="I104" s="13"/>
      <c r="J104" s="269"/>
      <c r="K104" s="92"/>
      <c r="L104" s="13"/>
      <c r="M104" s="96"/>
      <c r="N104" s="13"/>
      <c r="O104" s="14">
        <f>SUM(E98:F103)-SUM(J98:J103)</f>
        <v>1445.8100000000004</v>
      </c>
    </row>
    <row r="107" spans="1:18" ht="28.5" customHeight="1">
      <c r="B107" s="225" t="s">
        <v>86</v>
      </c>
      <c r="C107" s="7"/>
      <c r="D107" s="10"/>
      <c r="E107" s="3"/>
      <c r="F107" s="3"/>
      <c r="G107" s="90"/>
      <c r="H107" s="247"/>
      <c r="I107" s="3"/>
      <c r="J107" s="247"/>
      <c r="K107" s="90"/>
      <c r="L107" s="3"/>
      <c r="M107" s="95"/>
      <c r="N107" s="3"/>
      <c r="O107" s="2"/>
    </row>
    <row r="108" spans="1:18" ht="27.75" customHeight="1">
      <c r="B108" s="104" t="s">
        <v>1</v>
      </c>
      <c r="C108" s="22" t="s">
        <v>2</v>
      </c>
      <c r="D108" s="23" t="s">
        <v>3</v>
      </c>
      <c r="E108" s="22" t="s">
        <v>4</v>
      </c>
      <c r="F108" s="22" t="s">
        <v>5</v>
      </c>
      <c r="G108" s="99" t="s">
        <v>6</v>
      </c>
      <c r="H108" s="248" t="s">
        <v>7</v>
      </c>
      <c r="I108" s="12" t="s">
        <v>8</v>
      </c>
      <c r="J108" s="268" t="s">
        <v>9</v>
      </c>
      <c r="K108" s="91" t="s">
        <v>10</v>
      </c>
      <c r="L108" s="12" t="s">
        <v>11</v>
      </c>
      <c r="M108" s="97"/>
      <c r="N108" s="24" t="s">
        <v>11</v>
      </c>
      <c r="O108" s="5" t="s">
        <v>12</v>
      </c>
      <c r="Q108" s="26" t="s">
        <v>13</v>
      </c>
      <c r="R108" s="26" t="s">
        <v>14</v>
      </c>
    </row>
    <row r="109" spans="1:18" ht="15.75" customHeight="1">
      <c r="B109" s="211" t="s">
        <v>86</v>
      </c>
      <c r="C109" s="4">
        <v>45846</v>
      </c>
      <c r="D109" s="11">
        <v>2527</v>
      </c>
      <c r="E109" s="220">
        <v>2730.04</v>
      </c>
      <c r="F109" s="8"/>
      <c r="G109" s="4"/>
      <c r="H109" s="249"/>
      <c r="I109" s="197"/>
      <c r="J109" s="254"/>
      <c r="K109" s="4"/>
      <c r="L109" s="4"/>
      <c r="M109" s="15"/>
      <c r="N109" s="4"/>
      <c r="O109" s="8"/>
      <c r="Q109" t="s">
        <v>87</v>
      </c>
    </row>
    <row r="110" spans="1:18" ht="15.75" customHeight="1">
      <c r="A110" s="219"/>
      <c r="B110" s="211" t="s">
        <v>16</v>
      </c>
      <c r="C110" s="210" t="s">
        <v>88</v>
      </c>
      <c r="D110" s="81"/>
      <c r="E110" s="82"/>
      <c r="F110" s="82"/>
      <c r="G110" s="80">
        <v>45809</v>
      </c>
      <c r="H110" s="250">
        <v>1628</v>
      </c>
      <c r="I110" t="s">
        <v>89</v>
      </c>
      <c r="J110" s="250">
        <v>1628</v>
      </c>
      <c r="K110" s="80" t="s">
        <v>17</v>
      </c>
      <c r="L110" s="80">
        <v>45838</v>
      </c>
      <c r="M110" s="98"/>
      <c r="N110" s="80"/>
      <c r="O110" s="82"/>
      <c r="P110" s="79"/>
      <c r="Q110" s="79" t="s">
        <v>90</v>
      </c>
      <c r="R110" s="79"/>
    </row>
    <row r="111" spans="1:18" ht="15.75" customHeight="1">
      <c r="A111" s="79"/>
      <c r="B111" s="211" t="s">
        <v>24</v>
      </c>
      <c r="C111" s="80"/>
      <c r="D111" s="81"/>
      <c r="E111" s="82"/>
      <c r="F111" s="82"/>
      <c r="G111" s="80">
        <v>45809</v>
      </c>
      <c r="H111" s="250">
        <v>305</v>
      </c>
      <c r="I111">
        <v>250701</v>
      </c>
      <c r="J111" s="250">
        <v>305</v>
      </c>
      <c r="K111" s="80" t="s">
        <v>17</v>
      </c>
      <c r="L111" s="80">
        <v>45855</v>
      </c>
      <c r="M111" s="98"/>
      <c r="N111" s="80"/>
      <c r="O111" s="82"/>
      <c r="P111" s="79"/>
      <c r="Q111" s="79"/>
      <c r="R111" s="79"/>
    </row>
    <row r="112" spans="1:18" ht="15.75" customHeight="1">
      <c r="B112" s="119" t="s">
        <v>26</v>
      </c>
      <c r="C112" s="13"/>
      <c r="D112" s="13"/>
      <c r="E112" s="13"/>
      <c r="F112" s="13"/>
      <c r="G112" s="92"/>
      <c r="H112" s="251"/>
      <c r="I112" s="13"/>
      <c r="J112" s="269"/>
      <c r="K112" s="92"/>
      <c r="L112" s="13"/>
      <c r="M112" s="96"/>
      <c r="N112" s="13"/>
      <c r="O112" s="14">
        <f>SUM(E109:F111)-SUM(H109:H111)</f>
        <v>797.04</v>
      </c>
    </row>
    <row r="115" spans="1:18" ht="50.25" customHeight="1">
      <c r="B115" s="225" t="s">
        <v>91</v>
      </c>
      <c r="C115" s="7"/>
      <c r="D115" s="10"/>
      <c r="E115" s="3"/>
      <c r="F115" s="3"/>
      <c r="G115" s="90"/>
      <c r="H115" s="247"/>
      <c r="I115" s="3"/>
      <c r="J115" s="247"/>
      <c r="K115" s="90"/>
      <c r="L115" s="3"/>
      <c r="M115" s="95"/>
      <c r="N115" s="3"/>
      <c r="O115" s="2"/>
    </row>
    <row r="116" spans="1:18" ht="28.5" customHeight="1">
      <c r="B116" s="104" t="s">
        <v>1</v>
      </c>
      <c r="C116" s="22" t="s">
        <v>2</v>
      </c>
      <c r="D116" s="23" t="s">
        <v>3</v>
      </c>
      <c r="E116" s="22" t="s">
        <v>4</v>
      </c>
      <c r="F116" s="22" t="s">
        <v>5</v>
      </c>
      <c r="G116" s="99" t="s">
        <v>6</v>
      </c>
      <c r="H116" s="248" t="s">
        <v>7</v>
      </c>
      <c r="I116" s="12" t="s">
        <v>8</v>
      </c>
      <c r="J116" s="268" t="s">
        <v>9</v>
      </c>
      <c r="K116" s="91" t="s">
        <v>10</v>
      </c>
      <c r="L116" s="12" t="s">
        <v>11</v>
      </c>
      <c r="M116" s="97" t="s">
        <v>76</v>
      </c>
      <c r="N116" s="24" t="s">
        <v>11</v>
      </c>
      <c r="O116" s="5" t="s">
        <v>12</v>
      </c>
      <c r="Q116" s="26" t="s">
        <v>13</v>
      </c>
      <c r="R116" s="26" t="s">
        <v>14</v>
      </c>
    </row>
    <row r="117" spans="1:18" ht="15.75" customHeight="1">
      <c r="B117" s="211" t="s">
        <v>91</v>
      </c>
      <c r="C117" s="4">
        <v>45852</v>
      </c>
      <c r="D117" s="11">
        <v>2528</v>
      </c>
      <c r="E117" s="8">
        <v>7314.04</v>
      </c>
      <c r="F117" s="8"/>
      <c r="G117" s="4"/>
      <c r="H117" s="249"/>
      <c r="I117" s="197"/>
      <c r="J117" s="254"/>
      <c r="K117" s="4"/>
      <c r="L117" s="4"/>
      <c r="M117" s="15"/>
      <c r="N117" s="4"/>
      <c r="O117" s="8"/>
      <c r="Q117" t="s">
        <v>92</v>
      </c>
    </row>
    <row r="118" spans="1:18" ht="15.75" customHeight="1">
      <c r="A118" s="79"/>
      <c r="B118" s="211" t="s">
        <v>16</v>
      </c>
      <c r="C118" s="210"/>
      <c r="D118" s="81"/>
      <c r="E118" s="82"/>
      <c r="F118" s="82"/>
      <c r="G118" s="80">
        <v>45809</v>
      </c>
      <c r="H118" s="254">
        <v>3504</v>
      </c>
      <c r="I118" t="s">
        <v>93</v>
      </c>
      <c r="J118" s="250">
        <v>3504</v>
      </c>
      <c r="K118" s="80" t="s">
        <v>17</v>
      </c>
      <c r="L118" s="80">
        <v>45845</v>
      </c>
      <c r="M118" s="98"/>
      <c r="N118" s="80"/>
      <c r="O118" s="82"/>
      <c r="P118" s="79"/>
      <c r="Q118" s="79" t="s">
        <v>65</v>
      </c>
      <c r="R118" s="79"/>
    </row>
    <row r="119" spans="1:18" ht="15.75" customHeight="1">
      <c r="B119" s="211" t="s">
        <v>53</v>
      </c>
      <c r="C119" s="80"/>
      <c r="D119" s="81"/>
      <c r="E119" s="82"/>
      <c r="F119" s="82"/>
      <c r="G119" s="80">
        <v>45809</v>
      </c>
      <c r="H119" s="250">
        <v>621</v>
      </c>
      <c r="I119" s="122" t="s">
        <v>94</v>
      </c>
      <c r="J119" s="250">
        <v>621</v>
      </c>
      <c r="K119" s="80" t="s">
        <v>17</v>
      </c>
      <c r="L119" s="80">
        <v>45818</v>
      </c>
      <c r="M119" s="98"/>
      <c r="N119" s="80"/>
      <c r="O119" s="82"/>
      <c r="P119" s="79"/>
      <c r="Q119" s="79" t="s">
        <v>65</v>
      </c>
      <c r="R119" s="79"/>
    </row>
    <row r="120" spans="1:18" ht="15.75" customHeight="1">
      <c r="B120" s="211" t="s">
        <v>19</v>
      </c>
      <c r="C120" s="80"/>
      <c r="D120" s="81"/>
      <c r="E120" s="82"/>
      <c r="F120" s="82"/>
      <c r="G120" s="80">
        <v>45809</v>
      </c>
      <c r="H120" s="250">
        <v>802</v>
      </c>
      <c r="I120" s="122" t="s">
        <v>95</v>
      </c>
      <c r="J120" s="250">
        <v>802</v>
      </c>
      <c r="K120" s="80" t="s">
        <v>17</v>
      </c>
      <c r="L120" s="80">
        <v>45832</v>
      </c>
      <c r="M120" s="98"/>
      <c r="N120" s="80"/>
      <c r="O120" s="82"/>
      <c r="P120" s="79"/>
      <c r="Q120" s="79" t="s">
        <v>65</v>
      </c>
      <c r="R120" s="79"/>
    </row>
    <row r="121" spans="1:18" ht="15.75" customHeight="1">
      <c r="A121" s="79"/>
      <c r="B121" s="211" t="s">
        <v>96</v>
      </c>
      <c r="C121" s="80"/>
      <c r="D121" s="81"/>
      <c r="E121" s="82"/>
      <c r="F121" s="82"/>
      <c r="G121" s="80">
        <v>45858</v>
      </c>
      <c r="H121" s="250">
        <v>645</v>
      </c>
      <c r="I121" t="s">
        <v>97</v>
      </c>
      <c r="J121" s="250">
        <v>645</v>
      </c>
      <c r="K121" s="80" t="s">
        <v>17</v>
      </c>
      <c r="L121" s="80">
        <v>45859</v>
      </c>
      <c r="M121" s="98"/>
      <c r="N121" s="80"/>
      <c r="O121" s="82"/>
      <c r="P121" s="79"/>
      <c r="Q121" s="79"/>
      <c r="R121" s="79"/>
    </row>
    <row r="122" spans="1:18" ht="15.75" customHeight="1">
      <c r="B122" s="119" t="s">
        <v>26</v>
      </c>
      <c r="C122" s="13"/>
      <c r="D122" s="13"/>
      <c r="E122" s="13"/>
      <c r="F122" s="13"/>
      <c r="G122" s="92"/>
      <c r="H122" s="251"/>
      <c r="I122" s="13"/>
      <c r="J122" s="269"/>
      <c r="K122" s="92"/>
      <c r="L122" s="13"/>
      <c r="M122" s="96"/>
      <c r="N122" s="13"/>
      <c r="O122" s="14">
        <f>SUM(E117:F121)-SUM(H117:H121)</f>
        <v>1742.04</v>
      </c>
      <c r="Q122" s="79"/>
    </row>
    <row r="123" spans="1:18" ht="15.75" customHeight="1">
      <c r="O123" s="100"/>
    </row>
    <row r="125" spans="1:18" ht="26.25" customHeight="1">
      <c r="B125" s="117" t="s">
        <v>98</v>
      </c>
      <c r="C125" s="116"/>
      <c r="D125" s="10"/>
      <c r="E125" s="3"/>
      <c r="F125" s="3"/>
      <c r="G125" s="90"/>
      <c r="H125" s="247"/>
      <c r="I125" s="3"/>
      <c r="J125" s="247"/>
      <c r="K125" s="90"/>
      <c r="L125" s="3"/>
      <c r="M125" s="95"/>
      <c r="N125" s="3"/>
      <c r="O125" s="2"/>
    </row>
    <row r="126" spans="1:18" ht="29.25" customHeight="1">
      <c r="A126" s="118"/>
      <c r="B126" s="104" t="s">
        <v>1</v>
      </c>
      <c r="C126" s="22" t="s">
        <v>2</v>
      </c>
      <c r="D126" s="23" t="s">
        <v>3</v>
      </c>
      <c r="E126" s="22" t="s">
        <v>4</v>
      </c>
      <c r="F126" s="22" t="s">
        <v>5</v>
      </c>
      <c r="G126" s="99" t="s">
        <v>6</v>
      </c>
      <c r="H126" s="248" t="s">
        <v>7</v>
      </c>
      <c r="I126" s="12" t="s">
        <v>8</v>
      </c>
      <c r="J126" s="268" t="s">
        <v>9</v>
      </c>
      <c r="K126" s="91" t="s">
        <v>10</v>
      </c>
      <c r="L126" s="12" t="s">
        <v>11</v>
      </c>
      <c r="M126" s="97" t="s">
        <v>76</v>
      </c>
      <c r="N126" s="24" t="s">
        <v>11</v>
      </c>
      <c r="O126" s="5" t="s">
        <v>12</v>
      </c>
      <c r="Q126" s="26" t="s">
        <v>13</v>
      </c>
      <c r="R126" s="26" t="s">
        <v>14</v>
      </c>
    </row>
    <row r="127" spans="1:18" ht="15.75" customHeight="1">
      <c r="A127" s="118"/>
      <c r="B127" s="105" t="s">
        <v>98</v>
      </c>
      <c r="C127" s="4">
        <v>45771</v>
      </c>
      <c r="D127" s="124" t="s">
        <v>73</v>
      </c>
      <c r="E127" s="8">
        <v>949</v>
      </c>
      <c r="F127" s="8"/>
      <c r="G127" s="4"/>
      <c r="H127" s="249"/>
      <c r="I127" s="197"/>
      <c r="J127" s="254"/>
      <c r="K127" s="8" t="s">
        <v>32</v>
      </c>
      <c r="L127" s="4">
        <v>45771</v>
      </c>
      <c r="M127" s="15">
        <v>949</v>
      </c>
      <c r="N127" s="4">
        <v>45771</v>
      </c>
      <c r="O127" s="8"/>
      <c r="Q127" t="s">
        <v>99</v>
      </c>
    </row>
    <row r="128" spans="1:18" ht="15.75" customHeight="1">
      <c r="A128" s="118"/>
      <c r="B128" s="105" t="s">
        <v>100</v>
      </c>
      <c r="C128" s="80"/>
      <c r="D128" s="81"/>
      <c r="E128" s="82"/>
      <c r="F128" s="82"/>
      <c r="G128" s="80">
        <v>45689</v>
      </c>
      <c r="H128" s="250">
        <v>871.2</v>
      </c>
      <c r="I128" s="198">
        <v>2550278</v>
      </c>
      <c r="J128" s="254">
        <v>871.2</v>
      </c>
      <c r="K128" s="80" t="s">
        <v>32</v>
      </c>
      <c r="L128" s="80">
        <v>45714</v>
      </c>
      <c r="M128" s="98"/>
      <c r="N128" s="80"/>
      <c r="O128" s="82"/>
      <c r="P128" s="79"/>
      <c r="Q128" s="79" t="s">
        <v>68</v>
      </c>
      <c r="R128" s="79"/>
    </row>
    <row r="129" spans="1:18" ht="15.75" customHeight="1">
      <c r="A129" s="118"/>
      <c r="B129" s="109" t="s">
        <v>26</v>
      </c>
      <c r="C129" s="13"/>
      <c r="D129" s="13"/>
      <c r="E129" s="13"/>
      <c r="F129" s="13"/>
      <c r="G129" s="92"/>
      <c r="H129" s="253"/>
      <c r="I129" s="13"/>
      <c r="J129" s="269"/>
      <c r="K129" s="92"/>
      <c r="L129" s="13"/>
      <c r="M129" s="96"/>
      <c r="N129" s="13"/>
      <c r="O129" s="27">
        <f>SUM(E127:F128)-SUM(H127:H128)</f>
        <v>77.799999999999955</v>
      </c>
    </row>
    <row r="132" spans="1:18" ht="24" customHeight="1">
      <c r="B132" s="225" t="s">
        <v>101</v>
      </c>
      <c r="C132" s="7"/>
      <c r="D132" s="10"/>
      <c r="E132" s="3"/>
      <c r="F132" s="3"/>
      <c r="G132" s="90"/>
      <c r="H132" s="247"/>
      <c r="I132" s="3"/>
      <c r="J132" s="247"/>
      <c r="K132" s="90"/>
      <c r="L132" s="3"/>
      <c r="M132" s="95"/>
      <c r="N132" s="3"/>
      <c r="O132" s="2"/>
    </row>
    <row r="133" spans="1:18" ht="27.75" customHeight="1">
      <c r="B133" s="104" t="s">
        <v>1</v>
      </c>
      <c r="C133" s="22" t="s">
        <v>2</v>
      </c>
      <c r="D133" s="23" t="s">
        <v>3</v>
      </c>
      <c r="E133" s="22" t="s">
        <v>4</v>
      </c>
      <c r="F133" s="22" t="s">
        <v>5</v>
      </c>
      <c r="G133" s="99" t="s">
        <v>6</v>
      </c>
      <c r="H133" s="248" t="s">
        <v>7</v>
      </c>
      <c r="I133" s="12" t="s">
        <v>8</v>
      </c>
      <c r="J133" s="268" t="s">
        <v>9</v>
      </c>
      <c r="K133" s="91" t="s">
        <v>10</v>
      </c>
      <c r="L133" s="12" t="s">
        <v>11</v>
      </c>
      <c r="M133" s="97" t="s">
        <v>76</v>
      </c>
      <c r="N133" s="24" t="s">
        <v>11</v>
      </c>
      <c r="O133" s="5" t="s">
        <v>12</v>
      </c>
      <c r="Q133" s="26" t="s">
        <v>13</v>
      </c>
      <c r="R133" s="26" t="s">
        <v>14</v>
      </c>
    </row>
    <row r="134" spans="1:18" ht="15.75" customHeight="1">
      <c r="A134" s="89"/>
      <c r="B134" s="105" t="s">
        <v>101</v>
      </c>
      <c r="C134" s="4">
        <v>45817</v>
      </c>
      <c r="D134" s="11" t="s">
        <v>102</v>
      </c>
      <c r="E134" s="8">
        <v>1214.32</v>
      </c>
      <c r="F134" s="8"/>
      <c r="G134" s="4"/>
      <c r="H134" s="249"/>
      <c r="I134" s="197"/>
      <c r="J134" s="254"/>
      <c r="K134" s="4"/>
      <c r="L134" s="4"/>
      <c r="M134" s="8">
        <v>1214.32</v>
      </c>
      <c r="N134" s="4">
        <v>45828</v>
      </c>
      <c r="O134" s="8"/>
      <c r="Q134" t="s">
        <v>103</v>
      </c>
    </row>
    <row r="135" spans="1:18" ht="15.75" customHeight="1">
      <c r="A135" s="89"/>
      <c r="B135" s="105" t="s">
        <v>66</v>
      </c>
      <c r="C135" s="80"/>
      <c r="D135" s="81"/>
      <c r="E135" s="82"/>
      <c r="F135" s="82"/>
      <c r="G135" s="80">
        <v>45779</v>
      </c>
      <c r="H135" s="250">
        <v>535.53</v>
      </c>
      <c r="I135" s="122">
        <v>1124168</v>
      </c>
      <c r="J135" s="254">
        <v>535.53</v>
      </c>
      <c r="K135" s="80" t="s">
        <v>32</v>
      </c>
      <c r="L135" s="80">
        <v>45791</v>
      </c>
      <c r="M135" s="98"/>
      <c r="N135" s="80"/>
      <c r="O135" s="82"/>
      <c r="P135" s="79"/>
      <c r="Q135" s="79" t="s">
        <v>104</v>
      </c>
      <c r="R135" s="79"/>
    </row>
    <row r="136" spans="1:18" ht="15.75" customHeight="1">
      <c r="A136" s="89"/>
      <c r="B136" s="211" t="s">
        <v>24</v>
      </c>
      <c r="C136" s="80"/>
      <c r="D136" s="81"/>
      <c r="E136" s="82"/>
      <c r="F136" s="82"/>
      <c r="G136" s="80">
        <v>45779</v>
      </c>
      <c r="H136" s="250">
        <v>290</v>
      </c>
      <c r="I136">
        <v>250704</v>
      </c>
      <c r="J136" s="250">
        <v>290</v>
      </c>
      <c r="K136" s="80" t="s">
        <v>105</v>
      </c>
      <c r="L136" s="80">
        <v>45860</v>
      </c>
      <c r="M136" s="98"/>
      <c r="N136" s="80"/>
      <c r="O136" s="82"/>
      <c r="P136" s="79"/>
      <c r="Q136" s="79" t="s">
        <v>106</v>
      </c>
      <c r="R136" s="79"/>
    </row>
    <row r="137" spans="1:18" ht="15.75" customHeight="1">
      <c r="B137" s="125" t="s">
        <v>26</v>
      </c>
      <c r="C137" s="13"/>
      <c r="D137" s="13"/>
      <c r="E137" s="13"/>
      <c r="F137" s="13"/>
      <c r="G137" s="92"/>
      <c r="H137" s="251"/>
      <c r="I137" s="13"/>
      <c r="J137" s="269"/>
      <c r="K137" s="92"/>
      <c r="L137" s="13"/>
      <c r="M137" s="96"/>
      <c r="N137" s="13"/>
      <c r="O137" s="27">
        <f>SUM(E134:F136)-SUM(H134:H136)</f>
        <v>388.78999999999996</v>
      </c>
    </row>
    <row r="140" spans="1:18" ht="25.5" customHeight="1">
      <c r="B140" s="102" t="s">
        <v>107</v>
      </c>
      <c r="C140" s="7"/>
      <c r="D140" s="10"/>
      <c r="E140" s="3"/>
      <c r="F140" s="3"/>
      <c r="G140" s="90"/>
      <c r="H140" s="247"/>
      <c r="I140" s="3"/>
      <c r="J140" s="247"/>
      <c r="K140" s="90"/>
      <c r="L140" s="3"/>
      <c r="M140" s="95"/>
      <c r="N140" s="3"/>
      <c r="O140" s="2"/>
    </row>
    <row r="141" spans="1:18" ht="29.25" customHeight="1">
      <c r="B141" s="104" t="s">
        <v>1</v>
      </c>
      <c r="C141" s="22" t="s">
        <v>2</v>
      </c>
      <c r="D141" s="23" t="s">
        <v>3</v>
      </c>
      <c r="E141" s="22" t="s">
        <v>4</v>
      </c>
      <c r="F141" s="22" t="s">
        <v>5</v>
      </c>
      <c r="G141" s="99" t="s">
        <v>6</v>
      </c>
      <c r="H141" s="248" t="s">
        <v>7</v>
      </c>
      <c r="I141" s="12" t="s">
        <v>8</v>
      </c>
      <c r="J141" s="268" t="s">
        <v>9</v>
      </c>
      <c r="K141" s="91" t="s">
        <v>10</v>
      </c>
      <c r="L141" s="12" t="s">
        <v>11</v>
      </c>
      <c r="M141" s="97" t="s">
        <v>76</v>
      </c>
      <c r="N141" s="24" t="s">
        <v>11</v>
      </c>
      <c r="O141" s="5" t="s">
        <v>12</v>
      </c>
      <c r="Q141" s="26" t="s">
        <v>13</v>
      </c>
      <c r="R141" s="26" t="s">
        <v>14</v>
      </c>
    </row>
    <row r="142" spans="1:18" ht="15.75" customHeight="1">
      <c r="B142" s="105" t="s">
        <v>108</v>
      </c>
      <c r="C142" s="4">
        <v>45833</v>
      </c>
      <c r="D142" s="11">
        <v>2523</v>
      </c>
      <c r="E142" s="8">
        <v>792.34</v>
      </c>
      <c r="F142" s="8"/>
      <c r="G142" s="4"/>
      <c r="H142" s="249"/>
      <c r="I142" s="197"/>
      <c r="J142" s="254"/>
      <c r="K142" s="4"/>
      <c r="L142" s="4"/>
      <c r="M142" s="15" t="s">
        <v>32</v>
      </c>
      <c r="N142" s="4">
        <v>45876</v>
      </c>
      <c r="O142" s="9"/>
    </row>
    <row r="143" spans="1:18" ht="15.75" customHeight="1">
      <c r="B143" s="211" t="s">
        <v>109</v>
      </c>
      <c r="C143" s="4">
        <v>45882</v>
      </c>
      <c r="D143" s="11">
        <v>2532</v>
      </c>
      <c r="E143" s="8">
        <v>792.34</v>
      </c>
      <c r="F143" s="8"/>
      <c r="G143" s="4"/>
      <c r="H143" s="249"/>
      <c r="I143" s="197"/>
      <c r="J143" s="254"/>
      <c r="K143" s="4"/>
      <c r="L143" s="4"/>
      <c r="M143" s="15" t="s">
        <v>32</v>
      </c>
      <c r="N143" s="4">
        <v>45926</v>
      </c>
      <c r="O143" s="8"/>
    </row>
    <row r="144" spans="1:18" ht="15.75" customHeight="1">
      <c r="A144" s="85"/>
      <c r="B144" s="108" t="s">
        <v>110</v>
      </c>
      <c r="C144" s="4">
        <v>45882</v>
      </c>
      <c r="D144" s="11">
        <v>2533</v>
      </c>
      <c r="E144" s="8">
        <v>65</v>
      </c>
      <c r="F144" s="8"/>
      <c r="G144" s="4"/>
      <c r="H144" s="249"/>
      <c r="I144" s="232"/>
      <c r="J144" s="254"/>
      <c r="K144" s="4"/>
      <c r="L144" s="4"/>
      <c r="M144" s="15"/>
      <c r="N144" s="4"/>
      <c r="O144" s="8"/>
      <c r="Q144" t="s">
        <v>111</v>
      </c>
    </row>
    <row r="145" spans="1:18" ht="15.75" customHeight="1">
      <c r="B145" s="211" t="s">
        <v>16</v>
      </c>
      <c r="C145" s="4"/>
      <c r="D145" s="11"/>
      <c r="E145" s="122"/>
      <c r="F145" s="8"/>
      <c r="G145" s="4">
        <v>45859</v>
      </c>
      <c r="H145" s="249">
        <v>98</v>
      </c>
      <c r="I145" t="s">
        <v>112</v>
      </c>
      <c r="J145" s="249">
        <v>98</v>
      </c>
      <c r="K145" s="4" t="s">
        <v>17</v>
      </c>
      <c r="L145" s="4">
        <v>45860</v>
      </c>
      <c r="M145" s="15"/>
      <c r="N145" s="4"/>
      <c r="O145" s="8"/>
    </row>
    <row r="146" spans="1:18" ht="15.75" customHeight="1">
      <c r="B146" s="211" t="s">
        <v>113</v>
      </c>
      <c r="C146" s="4">
        <v>45744</v>
      </c>
      <c r="D146" s="11">
        <v>2500002</v>
      </c>
      <c r="E146" s="8">
        <v>330.2</v>
      </c>
      <c r="F146" s="8"/>
      <c r="G146" s="4"/>
      <c r="H146" s="249"/>
      <c r="I146" s="197"/>
      <c r="J146" s="254"/>
      <c r="K146" s="4"/>
      <c r="L146" s="4"/>
      <c r="M146" s="8">
        <v>330.2</v>
      </c>
      <c r="N146" s="4">
        <v>45750</v>
      </c>
      <c r="O146" s="8"/>
    </row>
    <row r="147" spans="1:18" ht="15.75" customHeight="1">
      <c r="A147" s="79"/>
      <c r="B147" s="211" t="s">
        <v>16</v>
      </c>
      <c r="C147" s="80"/>
      <c r="D147" s="81"/>
      <c r="E147" s="82"/>
      <c r="F147" s="82"/>
      <c r="G147" s="80">
        <v>45831</v>
      </c>
      <c r="H147" s="250">
        <v>680</v>
      </c>
      <c r="I147" t="s">
        <v>114</v>
      </c>
      <c r="J147" s="250">
        <v>680</v>
      </c>
      <c r="K147" s="80" t="s">
        <v>17</v>
      </c>
      <c r="L147" s="80">
        <v>45852</v>
      </c>
      <c r="M147" s="98"/>
      <c r="N147" s="80"/>
      <c r="O147" s="82"/>
      <c r="P147" s="79"/>
      <c r="Q147" s="79" t="s">
        <v>115</v>
      </c>
      <c r="R147" s="79"/>
    </row>
    <row r="148" spans="1:18" ht="15.75" customHeight="1">
      <c r="B148" s="211" t="s">
        <v>82</v>
      </c>
      <c r="C148" s="80"/>
      <c r="D148" s="81"/>
      <c r="E148" s="82"/>
      <c r="F148" s="82"/>
      <c r="G148" s="126">
        <v>45748</v>
      </c>
      <c r="H148" s="250">
        <v>251.18</v>
      </c>
      <c r="I148" s="122" t="s">
        <v>116</v>
      </c>
      <c r="J148" s="254">
        <v>251.18</v>
      </c>
      <c r="K148" s="80" t="s">
        <v>17</v>
      </c>
      <c r="L148" s="80">
        <v>45776</v>
      </c>
      <c r="M148" s="98"/>
      <c r="N148" s="80"/>
      <c r="O148" s="82"/>
      <c r="P148" s="79"/>
      <c r="Q148" s="79" t="s">
        <v>115</v>
      </c>
      <c r="R148" s="79"/>
    </row>
    <row r="149" spans="1:18" ht="15.75" customHeight="1">
      <c r="B149" s="211" t="s">
        <v>82</v>
      </c>
      <c r="C149" s="80"/>
      <c r="D149" s="81"/>
      <c r="E149" s="82"/>
      <c r="F149" s="82"/>
      <c r="G149" s="80">
        <v>45856</v>
      </c>
      <c r="H149" s="250">
        <v>251.18</v>
      </c>
      <c r="I149" t="s">
        <v>117</v>
      </c>
      <c r="J149" s="250">
        <v>251.18</v>
      </c>
      <c r="K149" s="80" t="s">
        <v>17</v>
      </c>
      <c r="L149" s="80">
        <v>45859</v>
      </c>
      <c r="M149" s="98"/>
      <c r="N149" s="80"/>
      <c r="O149" s="82"/>
      <c r="P149" s="79"/>
      <c r="Q149" s="79"/>
      <c r="R149" s="79"/>
    </row>
    <row r="150" spans="1:18" ht="15.75" customHeight="1">
      <c r="B150" s="211" t="s">
        <v>84</v>
      </c>
      <c r="C150" s="80"/>
      <c r="D150" s="81"/>
      <c r="E150" s="82"/>
      <c r="F150" s="82"/>
      <c r="G150" s="80">
        <v>45880</v>
      </c>
      <c r="H150" s="250">
        <v>345</v>
      </c>
      <c r="I150" t="s">
        <v>85</v>
      </c>
      <c r="J150" s="250">
        <v>395</v>
      </c>
      <c r="K150" s="80" t="s">
        <v>17</v>
      </c>
      <c r="L150" s="80">
        <v>45882</v>
      </c>
      <c r="M150" s="98"/>
      <c r="N150" s="80"/>
      <c r="O150" s="82"/>
      <c r="P150" s="79"/>
      <c r="Q150" s="79" t="s">
        <v>118</v>
      </c>
      <c r="R150" s="79"/>
    </row>
    <row r="151" spans="1:18" ht="15.75" customHeight="1">
      <c r="B151" s="125" t="s">
        <v>26</v>
      </c>
      <c r="C151" s="13"/>
      <c r="D151" s="13"/>
      <c r="E151" s="13"/>
      <c r="F151" s="13"/>
      <c r="G151" s="92"/>
      <c r="H151" s="251"/>
      <c r="I151" s="13"/>
      <c r="J151" s="269"/>
      <c r="K151" s="92"/>
      <c r="L151" s="13"/>
      <c r="M151" s="96"/>
      <c r="N151" s="13"/>
      <c r="O151" s="27">
        <f>SUM(E142:F150)-SUM(H142:H150)</f>
        <v>354.52</v>
      </c>
    </row>
    <row r="154" spans="1:18" ht="25.5" customHeight="1">
      <c r="B154" s="225" t="s">
        <v>119</v>
      </c>
      <c r="C154" s="7"/>
      <c r="D154" s="10"/>
      <c r="E154" s="3"/>
      <c r="F154" s="3"/>
      <c r="G154" s="90"/>
      <c r="H154" s="247"/>
      <c r="I154" s="3"/>
      <c r="J154" s="247"/>
      <c r="K154" s="90"/>
      <c r="L154" s="3"/>
      <c r="M154" s="95"/>
      <c r="N154" s="3"/>
      <c r="O154" s="2"/>
    </row>
    <row r="155" spans="1:18" ht="30" customHeight="1">
      <c r="B155" s="104" t="s">
        <v>1</v>
      </c>
      <c r="C155" s="22" t="s">
        <v>2</v>
      </c>
      <c r="D155" s="23" t="s">
        <v>3</v>
      </c>
      <c r="E155" s="22" t="s">
        <v>4</v>
      </c>
      <c r="F155" s="22" t="s">
        <v>5</v>
      </c>
      <c r="G155" s="99" t="s">
        <v>6</v>
      </c>
      <c r="H155" s="248" t="s">
        <v>7</v>
      </c>
      <c r="I155" s="12" t="s">
        <v>8</v>
      </c>
      <c r="J155" s="268" t="s">
        <v>9</v>
      </c>
      <c r="K155" s="91" t="s">
        <v>10</v>
      </c>
      <c r="L155" s="12" t="s">
        <v>11</v>
      </c>
      <c r="M155" s="97" t="s">
        <v>76</v>
      </c>
      <c r="N155" s="24" t="s">
        <v>11</v>
      </c>
      <c r="O155" s="5" t="s">
        <v>12</v>
      </c>
      <c r="Q155" s="26" t="s">
        <v>13</v>
      </c>
      <c r="R155" s="26" t="s">
        <v>14</v>
      </c>
    </row>
    <row r="156" spans="1:18" ht="15.75" customHeight="1">
      <c r="B156" s="105" t="s">
        <v>120</v>
      </c>
      <c r="C156" s="4">
        <v>45831</v>
      </c>
      <c r="D156" s="11">
        <v>2522</v>
      </c>
      <c r="E156" s="8">
        <v>4393.55</v>
      </c>
      <c r="F156" s="8"/>
      <c r="G156" s="4"/>
      <c r="H156" s="249"/>
      <c r="I156" s="197"/>
      <c r="J156" s="254"/>
      <c r="K156" s="4"/>
      <c r="L156" s="4"/>
      <c r="M156" s="15" t="s">
        <v>32</v>
      </c>
      <c r="N156" s="4">
        <v>45839</v>
      </c>
      <c r="O156" s="8"/>
    </row>
    <row r="157" spans="1:18" ht="15.75" customHeight="1">
      <c r="B157" s="211" t="s">
        <v>120</v>
      </c>
      <c r="C157" s="4">
        <v>45873</v>
      </c>
      <c r="D157" s="11">
        <v>2531</v>
      </c>
      <c r="E157" s="8">
        <v>4393.55</v>
      </c>
      <c r="F157" s="8"/>
      <c r="G157" s="4"/>
      <c r="H157" s="249"/>
      <c r="I157" s="197"/>
      <c r="J157" s="254"/>
      <c r="K157" s="4"/>
      <c r="L157" s="4"/>
      <c r="M157" s="15" t="s">
        <v>32</v>
      </c>
      <c r="N157" s="4">
        <v>45883</v>
      </c>
      <c r="O157" s="8"/>
    </row>
    <row r="158" spans="1:18" ht="15.75" customHeight="1">
      <c r="A158" s="79"/>
      <c r="B158" s="211" t="s">
        <v>16</v>
      </c>
      <c r="C158" s="80"/>
      <c r="D158" s="81"/>
      <c r="E158" s="82"/>
      <c r="F158" s="82"/>
      <c r="G158" s="80">
        <v>45845</v>
      </c>
      <c r="H158" s="250">
        <v>2339</v>
      </c>
      <c r="I158" t="s">
        <v>121</v>
      </c>
      <c r="J158" s="250">
        <v>2339</v>
      </c>
      <c r="K158" s="80" t="s">
        <v>105</v>
      </c>
      <c r="L158" s="80">
        <v>45873</v>
      </c>
      <c r="M158" s="98"/>
      <c r="N158" s="80"/>
      <c r="O158" s="82"/>
      <c r="P158" s="79"/>
      <c r="Q158" s="79"/>
      <c r="R158" s="79"/>
    </row>
    <row r="159" spans="1:18" ht="15.75" customHeight="1">
      <c r="B159" s="211" t="s">
        <v>53</v>
      </c>
      <c r="C159" s="80"/>
      <c r="D159" s="81"/>
      <c r="E159" s="82"/>
      <c r="F159" s="82"/>
      <c r="G159" s="80">
        <v>45845</v>
      </c>
      <c r="H159" s="250">
        <v>2347.25</v>
      </c>
      <c r="I159" t="s">
        <v>122</v>
      </c>
      <c r="J159" s="256">
        <v>2347.25</v>
      </c>
      <c r="K159" s="80"/>
      <c r="L159" s="80"/>
      <c r="M159" s="98"/>
      <c r="N159" s="80"/>
      <c r="O159" s="82"/>
      <c r="P159" s="79"/>
      <c r="Q159" s="79"/>
      <c r="R159" s="79"/>
    </row>
    <row r="160" spans="1:18" ht="15.75" customHeight="1">
      <c r="B160" s="211" t="s">
        <v>82</v>
      </c>
      <c r="C160" s="80"/>
      <c r="D160" s="81"/>
      <c r="E160" s="82"/>
      <c r="F160" s="82"/>
      <c r="G160" s="80">
        <v>45845</v>
      </c>
      <c r="H160" s="250">
        <v>1578</v>
      </c>
      <c r="I160" s="198" t="s">
        <v>123</v>
      </c>
      <c r="J160" s="250">
        <v>1578</v>
      </c>
      <c r="K160" s="80" t="s">
        <v>17</v>
      </c>
      <c r="L160" s="80">
        <v>45873</v>
      </c>
      <c r="M160" s="98"/>
      <c r="N160" s="80"/>
      <c r="O160" s="82"/>
      <c r="P160" s="79"/>
      <c r="Q160" s="79"/>
      <c r="R160" s="79"/>
    </row>
    <row r="161" spans="1:18" ht="15.75" customHeight="1">
      <c r="B161" s="125" t="s">
        <v>26</v>
      </c>
      <c r="C161" s="13"/>
      <c r="D161" s="13"/>
      <c r="E161" s="13"/>
      <c r="F161" s="13"/>
      <c r="G161" s="92"/>
      <c r="H161" s="251"/>
      <c r="I161" s="13"/>
      <c r="J161" s="269"/>
      <c r="K161" s="92"/>
      <c r="L161" s="13"/>
      <c r="M161" s="96"/>
      <c r="N161" s="13"/>
      <c r="O161" s="27">
        <f>SUM(E156:F160)-SUM(H156:H160)</f>
        <v>2522.8500000000004</v>
      </c>
    </row>
    <row r="164" spans="1:18" ht="27.75" customHeight="1">
      <c r="B164" s="225" t="s">
        <v>124</v>
      </c>
      <c r="C164" s="7"/>
      <c r="D164" s="10"/>
      <c r="E164" s="3"/>
      <c r="F164" s="3"/>
      <c r="G164" s="90"/>
      <c r="H164" s="247"/>
      <c r="I164" s="3"/>
      <c r="J164" s="247"/>
      <c r="K164" s="90"/>
      <c r="L164" s="3"/>
      <c r="M164" s="95"/>
      <c r="N164" s="3"/>
      <c r="O164" s="2"/>
    </row>
    <row r="165" spans="1:18" ht="31.5" customHeight="1">
      <c r="B165" s="104" t="s">
        <v>1</v>
      </c>
      <c r="C165" s="22" t="s">
        <v>2</v>
      </c>
      <c r="D165" s="23" t="s">
        <v>3</v>
      </c>
      <c r="E165" s="22" t="s">
        <v>4</v>
      </c>
      <c r="F165" s="22" t="s">
        <v>5</v>
      </c>
      <c r="G165" s="99" t="s">
        <v>6</v>
      </c>
      <c r="H165" s="248" t="s">
        <v>7</v>
      </c>
      <c r="I165" s="12" t="s">
        <v>8</v>
      </c>
      <c r="J165" s="268" t="s">
        <v>9</v>
      </c>
      <c r="K165" s="91" t="s">
        <v>10</v>
      </c>
      <c r="L165" s="12" t="s">
        <v>11</v>
      </c>
      <c r="M165" s="97" t="s">
        <v>76</v>
      </c>
      <c r="N165" s="24" t="s">
        <v>11</v>
      </c>
      <c r="O165" s="5" t="s">
        <v>12</v>
      </c>
      <c r="Q165" s="26" t="s">
        <v>13</v>
      </c>
      <c r="R165" s="26" t="s">
        <v>14</v>
      </c>
    </row>
    <row r="166" spans="1:18" ht="15.75" customHeight="1">
      <c r="A166" s="89"/>
      <c r="B166" s="211" t="s">
        <v>125</v>
      </c>
      <c r="C166" s="4">
        <v>45852</v>
      </c>
      <c r="D166" s="11">
        <v>2529</v>
      </c>
      <c r="E166" s="8">
        <v>796</v>
      </c>
      <c r="F166" s="8"/>
      <c r="G166" s="4"/>
      <c r="H166" s="249"/>
      <c r="I166" s="197"/>
      <c r="J166" s="254"/>
      <c r="K166" s="4"/>
      <c r="L166" s="4"/>
      <c r="M166" s="15"/>
      <c r="N166" s="4"/>
      <c r="O166" s="8"/>
      <c r="Q166" t="s">
        <v>87</v>
      </c>
    </row>
    <row r="167" spans="1:18" ht="15.75" customHeight="1">
      <c r="A167" s="89"/>
      <c r="B167" s="211" t="s">
        <v>66</v>
      </c>
      <c r="C167" s="80"/>
      <c r="D167" s="81"/>
      <c r="E167" s="82"/>
      <c r="F167" s="82"/>
      <c r="G167" s="4">
        <v>45809</v>
      </c>
      <c r="H167" s="250">
        <v>396.86</v>
      </c>
      <c r="I167" s="202">
        <v>4321992</v>
      </c>
      <c r="J167" s="250">
        <v>396.86</v>
      </c>
      <c r="K167" s="4" t="s">
        <v>17</v>
      </c>
      <c r="L167" s="4">
        <v>45834</v>
      </c>
      <c r="M167" s="15"/>
      <c r="N167" s="4"/>
      <c r="O167" s="82"/>
      <c r="P167" s="79"/>
      <c r="Q167" s="79"/>
      <c r="R167" s="79"/>
    </row>
    <row r="168" spans="1:18" ht="15.75" customHeight="1">
      <c r="A168" s="89"/>
      <c r="B168" s="211" t="s">
        <v>24</v>
      </c>
      <c r="C168" s="80"/>
      <c r="D168" s="81"/>
      <c r="E168" s="82"/>
      <c r="F168" s="82"/>
      <c r="G168" s="4">
        <v>45823</v>
      </c>
      <c r="H168" s="250">
        <v>50</v>
      </c>
      <c r="I168">
        <v>250704</v>
      </c>
      <c r="J168" s="250">
        <v>50</v>
      </c>
      <c r="K168" s="80" t="s">
        <v>17</v>
      </c>
      <c r="L168" s="80">
        <v>45860</v>
      </c>
      <c r="M168" s="98"/>
      <c r="N168" s="80"/>
      <c r="O168" s="82"/>
      <c r="P168" s="79"/>
      <c r="Q168" s="79" t="s">
        <v>106</v>
      </c>
      <c r="R168" s="79"/>
    </row>
    <row r="169" spans="1:18" ht="15.75" customHeight="1">
      <c r="B169" s="125" t="s">
        <v>26</v>
      </c>
      <c r="C169" s="13"/>
      <c r="D169" s="13"/>
      <c r="E169" s="13"/>
      <c r="F169" s="13"/>
      <c r="G169" s="92"/>
      <c r="H169" s="251"/>
      <c r="I169" s="13"/>
      <c r="J169" s="269"/>
      <c r="K169" s="92"/>
      <c r="L169" s="13"/>
      <c r="M169" s="96"/>
      <c r="N169" s="13"/>
      <c r="O169" s="27">
        <f>SUM(E166:F168)-SUM(H166:H168)</f>
        <v>349.14</v>
      </c>
    </row>
    <row r="172" spans="1:18" ht="27.75" customHeight="1">
      <c r="B172" s="1" t="s">
        <v>126</v>
      </c>
      <c r="C172" s="1"/>
      <c r="D172" s="10"/>
      <c r="E172" s="3"/>
      <c r="F172" s="3"/>
      <c r="G172" s="90"/>
      <c r="H172" s="247"/>
      <c r="I172" s="3"/>
      <c r="J172" s="247"/>
      <c r="K172" s="90"/>
      <c r="L172" s="3"/>
      <c r="M172" s="95"/>
      <c r="N172" s="3"/>
      <c r="O172" s="2"/>
    </row>
    <row r="173" spans="1:18" ht="32.25" customHeight="1">
      <c r="B173" s="104" t="s">
        <v>1</v>
      </c>
      <c r="C173" s="22" t="s">
        <v>2</v>
      </c>
      <c r="D173" s="23" t="s">
        <v>3</v>
      </c>
      <c r="E173" s="22" t="s">
        <v>4</v>
      </c>
      <c r="F173" s="22" t="s">
        <v>5</v>
      </c>
      <c r="G173" s="99" t="s">
        <v>6</v>
      </c>
      <c r="H173" s="248" t="s">
        <v>7</v>
      </c>
      <c r="I173" s="12" t="s">
        <v>8</v>
      </c>
      <c r="J173" s="268" t="s">
        <v>9</v>
      </c>
      <c r="K173" s="91" t="s">
        <v>10</v>
      </c>
      <c r="L173" s="12" t="s">
        <v>11</v>
      </c>
      <c r="M173" s="97" t="s">
        <v>76</v>
      </c>
      <c r="N173" s="24" t="s">
        <v>11</v>
      </c>
      <c r="O173" s="5" t="s">
        <v>12</v>
      </c>
      <c r="Q173" s="26" t="s">
        <v>13</v>
      </c>
      <c r="R173" s="26" t="s">
        <v>14</v>
      </c>
    </row>
    <row r="174" spans="1:18" ht="15.75" customHeight="1">
      <c r="B174" s="105"/>
      <c r="C174" s="126"/>
      <c r="D174" s="4"/>
      <c r="E174" s="8"/>
      <c r="F174" s="8"/>
      <c r="G174" s="4"/>
      <c r="H174" s="249"/>
      <c r="I174" s="197"/>
      <c r="J174" s="254"/>
      <c r="K174" s="4"/>
      <c r="L174" s="4"/>
      <c r="M174" s="15"/>
      <c r="N174" s="4"/>
      <c r="O174" s="8"/>
    </row>
    <row r="175" spans="1:18" ht="15.75" customHeight="1">
      <c r="B175" s="211"/>
      <c r="C175" s="80"/>
      <c r="D175" s="81"/>
      <c r="E175" s="82"/>
      <c r="F175" s="82"/>
      <c r="G175" s="4"/>
      <c r="H175" s="254"/>
      <c r="I175" s="202"/>
      <c r="J175" s="254"/>
      <c r="K175" s="4"/>
      <c r="L175" s="4"/>
      <c r="M175" s="15"/>
      <c r="N175" s="4"/>
      <c r="O175" s="82"/>
      <c r="P175" s="79"/>
      <c r="Q175" s="79"/>
      <c r="R175" s="79"/>
    </row>
    <row r="176" spans="1:18" ht="15.75" customHeight="1">
      <c r="B176" s="106"/>
      <c r="C176" s="80"/>
      <c r="D176" s="81"/>
      <c r="E176" s="82"/>
      <c r="F176" s="82"/>
      <c r="G176" s="4"/>
      <c r="H176" s="250"/>
      <c r="I176" s="202"/>
      <c r="J176" s="250"/>
      <c r="K176" s="80"/>
      <c r="L176" s="80"/>
      <c r="M176" s="98"/>
      <c r="N176" s="80"/>
      <c r="O176" s="82"/>
      <c r="P176" s="79"/>
      <c r="Q176" s="79"/>
      <c r="R176" s="79"/>
    </row>
    <row r="177" spans="1:18" ht="15.75" customHeight="1">
      <c r="B177" s="125" t="s">
        <v>26</v>
      </c>
      <c r="C177" s="13"/>
      <c r="D177" s="13"/>
      <c r="E177" s="13"/>
      <c r="F177" s="13"/>
      <c r="G177" s="92"/>
      <c r="H177" s="251"/>
      <c r="I177" s="13"/>
      <c r="J177" s="269"/>
      <c r="K177" s="92"/>
      <c r="L177" s="13"/>
      <c r="M177" s="96"/>
      <c r="N177" s="13"/>
      <c r="O177" s="27">
        <f>SUM(E174:F176)-SUM(H174:H176)</f>
        <v>0</v>
      </c>
    </row>
    <row r="179" spans="1:18" ht="27">
      <c r="B179" s="116" t="s">
        <v>127</v>
      </c>
      <c r="C179" s="116"/>
      <c r="D179" s="10"/>
      <c r="E179" s="3"/>
      <c r="F179" s="90"/>
      <c r="G179" s="3"/>
      <c r="H179" s="247"/>
      <c r="I179" s="3"/>
      <c r="J179" s="247"/>
      <c r="K179" s="3"/>
      <c r="L179" s="95"/>
      <c r="M179" s="3"/>
      <c r="N179" s="2"/>
    </row>
    <row r="180" spans="1:18" ht="32.25" customHeight="1">
      <c r="B180" s="6" t="s">
        <v>1</v>
      </c>
      <c r="C180" s="22" t="s">
        <v>2</v>
      </c>
      <c r="D180" s="23" t="s">
        <v>3</v>
      </c>
      <c r="E180" s="22" t="s">
        <v>4</v>
      </c>
      <c r="F180" s="22" t="s">
        <v>5</v>
      </c>
      <c r="G180" s="99" t="s">
        <v>6</v>
      </c>
      <c r="H180" s="248" t="s">
        <v>7</v>
      </c>
      <c r="I180" s="12" t="s">
        <v>8</v>
      </c>
      <c r="J180" s="268" t="s">
        <v>9</v>
      </c>
      <c r="K180" s="91" t="s">
        <v>10</v>
      </c>
      <c r="L180" s="12" t="s">
        <v>11</v>
      </c>
      <c r="M180" s="97" t="s">
        <v>76</v>
      </c>
      <c r="N180" s="24" t="s">
        <v>11</v>
      </c>
      <c r="O180" s="5" t="s">
        <v>12</v>
      </c>
      <c r="Q180" s="26" t="s">
        <v>13</v>
      </c>
      <c r="R180" s="26" t="s">
        <v>14</v>
      </c>
    </row>
    <row r="181" spans="1:18" ht="15.75" customHeight="1">
      <c r="B181" s="134" t="s">
        <v>128</v>
      </c>
      <c r="C181" s="4">
        <v>45737</v>
      </c>
      <c r="D181" s="11" t="s">
        <v>129</v>
      </c>
      <c r="E181" s="8">
        <v>10633.63</v>
      </c>
      <c r="F181" s="8"/>
      <c r="G181" s="4"/>
      <c r="H181" s="249"/>
      <c r="I181" s="197"/>
      <c r="J181" s="254"/>
      <c r="K181" s="4"/>
      <c r="L181" s="122"/>
      <c r="M181" s="8">
        <v>10633.63</v>
      </c>
      <c r="N181" s="4">
        <v>45637</v>
      </c>
      <c r="O181" s="8"/>
      <c r="Q181" t="s">
        <v>130</v>
      </c>
    </row>
    <row r="182" spans="1:18" ht="15.75" customHeight="1">
      <c r="B182" s="136" t="s">
        <v>131</v>
      </c>
      <c r="C182" s="4"/>
      <c r="D182" s="11"/>
      <c r="E182" s="8">
        <v>10633.63</v>
      </c>
      <c r="F182" s="8"/>
      <c r="G182" s="4"/>
      <c r="H182" s="249"/>
      <c r="I182" s="197"/>
      <c r="J182" s="254"/>
      <c r="K182" s="4"/>
      <c r="L182" s="122"/>
      <c r="M182" s="8">
        <v>10633.63</v>
      </c>
      <c r="N182" s="4">
        <v>45735</v>
      </c>
      <c r="O182" s="8"/>
    </row>
    <row r="183" spans="1:18" ht="15.75" customHeight="1">
      <c r="B183" s="136" t="s">
        <v>132</v>
      </c>
      <c r="C183" s="4">
        <v>45715</v>
      </c>
      <c r="D183" s="11" t="s">
        <v>133</v>
      </c>
      <c r="E183" s="8">
        <v>-308.8</v>
      </c>
      <c r="F183" s="8"/>
      <c r="G183" s="4"/>
      <c r="H183" s="249"/>
      <c r="I183" s="197"/>
      <c r="J183" s="254"/>
      <c r="K183" s="4"/>
      <c r="L183" s="122"/>
      <c r="M183" s="8"/>
      <c r="N183" s="4"/>
      <c r="O183" s="8"/>
    </row>
    <row r="184" spans="1:18" ht="15.75" customHeight="1">
      <c r="B184" s="136" t="s">
        <v>78</v>
      </c>
      <c r="C184" s="4"/>
      <c r="D184" s="11"/>
      <c r="E184" s="8">
        <v>490</v>
      </c>
      <c r="F184" s="8"/>
      <c r="G184" s="4"/>
      <c r="H184" s="249"/>
      <c r="I184" s="197"/>
      <c r="J184" s="254"/>
      <c r="K184" s="4"/>
      <c r="L184" s="122"/>
      <c r="M184" s="8"/>
      <c r="N184" s="4"/>
      <c r="O184" s="8"/>
    </row>
    <row r="185" spans="1:18" ht="15.75" customHeight="1">
      <c r="B185" s="233" t="s">
        <v>134</v>
      </c>
      <c r="C185" s="4"/>
      <c r="D185" s="11"/>
      <c r="E185" s="8"/>
      <c r="F185" s="8"/>
      <c r="G185" s="80">
        <v>45743</v>
      </c>
      <c r="H185" s="250">
        <v>480.2</v>
      </c>
      <c r="I185" s="198">
        <v>811690</v>
      </c>
      <c r="J185" s="250">
        <v>480.2</v>
      </c>
      <c r="K185" s="80" t="s">
        <v>17</v>
      </c>
      <c r="L185" s="80">
        <v>45696</v>
      </c>
      <c r="M185" s="8">
        <v>480.2</v>
      </c>
      <c r="N185" s="4">
        <v>45880</v>
      </c>
      <c r="O185" s="8"/>
      <c r="Q185" t="s">
        <v>135</v>
      </c>
    </row>
    <row r="186" spans="1:18" ht="15.75" customHeight="1">
      <c r="A186" s="135"/>
      <c r="B186" s="134" t="s">
        <v>16</v>
      </c>
      <c r="C186" s="80"/>
      <c r="D186" s="81"/>
      <c r="E186" s="82"/>
      <c r="F186" s="82"/>
      <c r="G186" s="80">
        <v>45646</v>
      </c>
      <c r="H186" s="250">
        <v>8495</v>
      </c>
      <c r="I186" s="198">
        <v>5337</v>
      </c>
      <c r="J186" s="250">
        <v>8495</v>
      </c>
      <c r="K186" s="80" t="s">
        <v>17</v>
      </c>
      <c r="L186" s="80">
        <v>45696</v>
      </c>
      <c r="M186" s="98"/>
      <c r="N186" s="80"/>
      <c r="O186" s="8"/>
      <c r="P186" s="79"/>
      <c r="Q186" s="79" t="s">
        <v>136</v>
      </c>
      <c r="R186" s="79"/>
    </row>
    <row r="187" spans="1:18" ht="15.75" customHeight="1">
      <c r="A187" s="135"/>
      <c r="B187" s="134" t="s">
        <v>137</v>
      </c>
      <c r="C187" s="80"/>
      <c r="D187" s="81"/>
      <c r="E187" s="82"/>
      <c r="F187" s="82"/>
      <c r="G187" s="80">
        <v>45646</v>
      </c>
      <c r="H187" s="250">
        <v>4341.0600000000004</v>
      </c>
      <c r="I187" s="198">
        <v>41003992</v>
      </c>
      <c r="J187" s="250">
        <v>4341.0600000000004</v>
      </c>
      <c r="K187" s="80" t="s">
        <v>17</v>
      </c>
      <c r="L187" s="80">
        <v>45701</v>
      </c>
      <c r="M187" s="98"/>
      <c r="N187" s="80"/>
      <c r="O187" s="82"/>
      <c r="P187" s="79"/>
      <c r="Q187" s="79" t="s">
        <v>138</v>
      </c>
      <c r="R187" s="79"/>
    </row>
    <row r="188" spans="1:18" ht="15.75" customHeight="1">
      <c r="A188" s="135"/>
      <c r="B188" s="134" t="s">
        <v>57</v>
      </c>
      <c r="C188" s="80"/>
      <c r="D188" s="81"/>
      <c r="E188" s="82"/>
      <c r="F188" s="82"/>
      <c r="G188" s="80">
        <v>45646</v>
      </c>
      <c r="H188" s="250">
        <v>2480</v>
      </c>
      <c r="I188" s="198">
        <v>82025</v>
      </c>
      <c r="J188" s="250">
        <v>2480</v>
      </c>
      <c r="K188" s="80" t="s">
        <v>17</v>
      </c>
      <c r="L188" s="80">
        <v>45712</v>
      </c>
      <c r="M188" s="98"/>
      <c r="N188" s="80"/>
      <c r="O188" s="82"/>
      <c r="P188" s="79"/>
      <c r="Q188" s="79"/>
      <c r="R188" s="79"/>
    </row>
    <row r="189" spans="1:18" ht="15.75" customHeight="1">
      <c r="B189" s="133" t="s">
        <v>26</v>
      </c>
      <c r="C189" s="13"/>
      <c r="D189" s="13"/>
      <c r="E189" s="13"/>
      <c r="F189" s="13"/>
      <c r="G189" s="92"/>
      <c r="H189" s="251"/>
      <c r="I189" s="13"/>
      <c r="J189" s="269"/>
      <c r="K189" s="92"/>
      <c r="L189" s="13"/>
      <c r="M189" s="96"/>
      <c r="N189" s="13"/>
      <c r="O189" s="14">
        <f>SUM(E181:F188)-SUM(H181:H188)</f>
        <v>5652.1999999999971</v>
      </c>
    </row>
    <row r="192" spans="1:18" ht="27">
      <c r="B192" s="331" t="s">
        <v>139</v>
      </c>
      <c r="C192" s="331"/>
      <c r="D192" s="10"/>
      <c r="E192" s="3"/>
      <c r="F192" s="3"/>
      <c r="G192" s="90"/>
      <c r="H192" s="247"/>
      <c r="I192" s="3"/>
      <c r="J192" s="247"/>
      <c r="K192" s="90"/>
      <c r="L192" s="3"/>
      <c r="M192" s="95"/>
      <c r="N192" s="3"/>
      <c r="O192" s="2"/>
    </row>
    <row r="193" spans="1:18" ht="33" customHeight="1">
      <c r="B193" s="104" t="s">
        <v>1</v>
      </c>
      <c r="C193" s="22" t="s">
        <v>2</v>
      </c>
      <c r="D193" s="23" t="s">
        <v>3</v>
      </c>
      <c r="E193" s="22" t="s">
        <v>4</v>
      </c>
      <c r="F193" s="22" t="s">
        <v>5</v>
      </c>
      <c r="G193" s="99" t="s">
        <v>6</v>
      </c>
      <c r="H193" s="248" t="s">
        <v>7</v>
      </c>
      <c r="I193" s="12" t="s">
        <v>8</v>
      </c>
      <c r="J193" s="268" t="s">
        <v>9</v>
      </c>
      <c r="K193" s="91" t="s">
        <v>10</v>
      </c>
      <c r="L193" s="12" t="s">
        <v>11</v>
      </c>
      <c r="M193" s="97" t="s">
        <v>76</v>
      </c>
      <c r="N193" s="24" t="s">
        <v>11</v>
      </c>
      <c r="O193" s="5" t="s">
        <v>12</v>
      </c>
      <c r="Q193" s="26" t="s">
        <v>13</v>
      </c>
      <c r="R193" s="26" t="s">
        <v>14</v>
      </c>
    </row>
    <row r="194" spans="1:18" ht="15.75" customHeight="1">
      <c r="B194" s="211" t="s">
        <v>139</v>
      </c>
      <c r="C194" s="17">
        <v>45845</v>
      </c>
      <c r="D194" s="18">
        <v>2526</v>
      </c>
      <c r="E194" s="213">
        <v>5717.37</v>
      </c>
      <c r="F194" s="212"/>
      <c r="G194" s="17"/>
      <c r="H194" s="257"/>
      <c r="I194" s="214"/>
      <c r="J194" s="270"/>
      <c r="K194" s="17"/>
      <c r="L194" s="17"/>
      <c r="M194" s="19"/>
      <c r="N194" s="17"/>
      <c r="O194" s="212"/>
    </row>
    <row r="195" spans="1:18" ht="15.75" customHeight="1">
      <c r="B195" s="211" t="s">
        <v>139</v>
      </c>
      <c r="C195" s="17">
        <v>45927</v>
      </c>
      <c r="D195" s="18">
        <v>2545</v>
      </c>
      <c r="E195" s="213">
        <v>5717.37</v>
      </c>
      <c r="F195" s="213"/>
      <c r="G195" s="17"/>
      <c r="H195" s="257"/>
      <c r="I195" s="214"/>
      <c r="J195" s="270"/>
      <c r="K195" s="17"/>
      <c r="L195" s="17"/>
      <c r="M195" s="19"/>
      <c r="N195" s="17"/>
      <c r="O195" s="212"/>
    </row>
    <row r="196" spans="1:18" ht="15.75" customHeight="1">
      <c r="B196" s="211" t="s">
        <v>16</v>
      </c>
      <c r="C196" s="17"/>
      <c r="D196" s="18"/>
      <c r="E196" s="213"/>
      <c r="F196" s="212"/>
      <c r="G196" s="17">
        <v>45853</v>
      </c>
      <c r="H196" s="257">
        <v>4350</v>
      </c>
      <c r="I196" t="s">
        <v>140</v>
      </c>
      <c r="J196" s="257">
        <v>4350</v>
      </c>
      <c r="K196" s="17" t="s">
        <v>17</v>
      </c>
      <c r="L196" s="17">
        <v>45922</v>
      </c>
      <c r="M196" s="19"/>
      <c r="N196" s="17"/>
      <c r="O196" s="212"/>
    </row>
    <row r="197" spans="1:18" ht="15.75" customHeight="1">
      <c r="B197" s="211" t="s">
        <v>141</v>
      </c>
      <c r="C197" s="215"/>
      <c r="D197" s="216"/>
      <c r="E197" s="217"/>
      <c r="F197" s="217"/>
      <c r="G197" s="17">
        <v>45853</v>
      </c>
      <c r="H197" s="258">
        <v>1683.5</v>
      </c>
      <c r="I197" t="s">
        <v>142</v>
      </c>
      <c r="J197" s="258">
        <v>1683.5</v>
      </c>
      <c r="K197" s="17" t="s">
        <v>17</v>
      </c>
      <c r="L197" s="17">
        <v>45916</v>
      </c>
      <c r="M197" s="19"/>
      <c r="N197" s="17"/>
      <c r="O197" s="217"/>
      <c r="P197" s="79"/>
      <c r="Q197" s="79"/>
      <c r="R197" s="79"/>
    </row>
    <row r="198" spans="1:18" ht="15.75" customHeight="1">
      <c r="B198" s="211" t="s">
        <v>24</v>
      </c>
      <c r="C198" s="215"/>
      <c r="D198" s="216"/>
      <c r="E198" s="217"/>
      <c r="F198" s="217"/>
      <c r="G198" s="17"/>
      <c r="H198" s="258">
        <v>675</v>
      </c>
      <c r="I198">
        <v>250905</v>
      </c>
      <c r="J198" s="258">
        <v>675</v>
      </c>
      <c r="K198" s="215" t="s">
        <v>17</v>
      </c>
      <c r="L198" s="215">
        <v>45930</v>
      </c>
      <c r="M198" s="218"/>
      <c r="N198" s="215"/>
      <c r="O198" s="217"/>
      <c r="P198" s="79"/>
      <c r="Q198" s="79"/>
      <c r="R198" s="79"/>
    </row>
    <row r="199" spans="1:18" ht="15.75" customHeight="1">
      <c r="B199" s="125" t="s">
        <v>26</v>
      </c>
      <c r="C199" s="13"/>
      <c r="D199" s="13"/>
      <c r="E199" s="13"/>
      <c r="F199" s="13"/>
      <c r="G199" s="92"/>
      <c r="H199" s="251"/>
      <c r="I199" s="13"/>
      <c r="J199" s="269"/>
      <c r="K199" s="92"/>
      <c r="L199" s="13"/>
      <c r="M199" s="96"/>
      <c r="N199" s="13"/>
      <c r="O199" s="27">
        <f>SUM(E194:F198)-SUM(H194:H198)</f>
        <v>4726.24</v>
      </c>
    </row>
    <row r="202" spans="1:18" ht="24" customHeight="1">
      <c r="B202" s="331" t="s">
        <v>143</v>
      </c>
      <c r="C202" s="331"/>
      <c r="D202" s="10"/>
      <c r="E202" s="3"/>
      <c r="F202" s="3"/>
      <c r="G202" s="90"/>
      <c r="H202" s="247"/>
      <c r="I202" s="3"/>
      <c r="J202" s="247"/>
      <c r="K202" s="90"/>
      <c r="L202" s="3"/>
      <c r="M202" s="95"/>
      <c r="N202" s="3"/>
      <c r="O202" s="2"/>
    </row>
    <row r="203" spans="1:18" ht="27.75" customHeight="1">
      <c r="B203" s="104" t="s">
        <v>1</v>
      </c>
      <c r="C203" s="22" t="s">
        <v>2</v>
      </c>
      <c r="D203" s="23" t="s">
        <v>3</v>
      </c>
      <c r="E203" s="22" t="s">
        <v>4</v>
      </c>
      <c r="F203" s="22" t="s">
        <v>5</v>
      </c>
      <c r="G203" s="99" t="s">
        <v>6</v>
      </c>
      <c r="H203" s="248" t="s">
        <v>7</v>
      </c>
      <c r="I203" s="12" t="s">
        <v>8</v>
      </c>
      <c r="J203" s="268" t="s">
        <v>9</v>
      </c>
      <c r="K203" s="91" t="s">
        <v>10</v>
      </c>
      <c r="L203" s="12" t="s">
        <v>11</v>
      </c>
      <c r="M203" s="97" t="s">
        <v>76</v>
      </c>
      <c r="N203" s="24" t="s">
        <v>11</v>
      </c>
      <c r="O203" s="5" t="s">
        <v>12</v>
      </c>
      <c r="Q203" s="26" t="s">
        <v>13</v>
      </c>
      <c r="R203" s="26" t="s">
        <v>14</v>
      </c>
    </row>
    <row r="204" spans="1:18" ht="15.75" customHeight="1">
      <c r="A204" s="89"/>
      <c r="B204" s="211" t="s">
        <v>144</v>
      </c>
      <c r="C204" s="17">
        <v>45927</v>
      </c>
      <c r="D204" s="18">
        <v>2546</v>
      </c>
      <c r="E204" s="220">
        <v>1402.27</v>
      </c>
      <c r="F204" s="220"/>
      <c r="G204" s="17"/>
      <c r="H204" s="257"/>
      <c r="I204" s="214"/>
      <c r="J204" s="270"/>
      <c r="K204" s="17"/>
      <c r="L204" s="17"/>
      <c r="M204" s="19"/>
      <c r="N204" s="17"/>
      <c r="O204" s="212"/>
      <c r="Q204" t="s">
        <v>87</v>
      </c>
    </row>
    <row r="205" spans="1:18" ht="15.75" customHeight="1">
      <c r="A205" s="89"/>
      <c r="B205" s="211" t="s">
        <v>145</v>
      </c>
      <c r="C205" s="17">
        <v>45927</v>
      </c>
      <c r="D205" s="18">
        <v>2547</v>
      </c>
      <c r="E205" s="213">
        <v>657.5</v>
      </c>
      <c r="F205" s="213"/>
      <c r="G205" s="17"/>
      <c r="H205" s="257"/>
      <c r="I205" s="214"/>
      <c r="J205" s="270"/>
      <c r="K205" s="17"/>
      <c r="L205" s="17"/>
      <c r="M205" s="19"/>
      <c r="N205" s="17"/>
      <c r="O205" s="212"/>
    </row>
    <row r="206" spans="1:18" ht="15.75" customHeight="1">
      <c r="B206" s="211" t="s">
        <v>16</v>
      </c>
      <c r="C206" s="17"/>
      <c r="D206" s="18"/>
      <c r="E206" s="213"/>
      <c r="F206" s="212"/>
      <c r="G206" s="17">
        <v>45853</v>
      </c>
      <c r="H206" s="257">
        <v>229</v>
      </c>
      <c r="I206" t="s">
        <v>140</v>
      </c>
      <c r="J206" s="259">
        <v>229</v>
      </c>
      <c r="K206" s="17" t="s">
        <v>17</v>
      </c>
      <c r="L206" s="17">
        <v>45922</v>
      </c>
      <c r="M206" s="19"/>
      <c r="N206" s="17"/>
      <c r="O206" s="212"/>
    </row>
    <row r="207" spans="1:18" ht="15.75" customHeight="1">
      <c r="A207" s="86"/>
      <c r="B207" s="211" t="s">
        <v>146</v>
      </c>
      <c r="C207" s="215"/>
      <c r="D207" s="216"/>
      <c r="E207" s="217"/>
      <c r="F207" s="217"/>
      <c r="G207" s="17">
        <v>45853</v>
      </c>
      <c r="H207" s="258">
        <v>727.8</v>
      </c>
      <c r="I207" t="s">
        <v>147</v>
      </c>
      <c r="J207" s="271">
        <v>727.8</v>
      </c>
      <c r="K207" s="17" t="s">
        <v>17</v>
      </c>
      <c r="L207" s="17">
        <v>45853</v>
      </c>
      <c r="M207" s="19"/>
      <c r="N207" s="17"/>
      <c r="O207" s="217"/>
      <c r="P207" s="79"/>
      <c r="Q207" s="79"/>
      <c r="R207" s="79"/>
    </row>
    <row r="208" spans="1:18" ht="15.75" customHeight="1">
      <c r="B208" s="211" t="s">
        <v>24</v>
      </c>
      <c r="C208" s="215"/>
      <c r="D208" s="216"/>
      <c r="E208" s="217"/>
      <c r="F208" s="217"/>
      <c r="G208" s="17"/>
      <c r="H208" s="258">
        <v>270</v>
      </c>
      <c r="I208">
        <v>250905</v>
      </c>
      <c r="J208" s="258">
        <v>270</v>
      </c>
      <c r="K208" s="215"/>
      <c r="L208" s="215">
        <v>45930</v>
      </c>
      <c r="M208" s="218"/>
      <c r="N208" s="215"/>
      <c r="O208" s="217"/>
      <c r="P208" s="79"/>
      <c r="Q208" s="79"/>
      <c r="R208" s="79"/>
    </row>
    <row r="209" spans="2:18" ht="15.75" customHeight="1">
      <c r="B209" s="125" t="s">
        <v>26</v>
      </c>
      <c r="C209" s="13"/>
      <c r="D209" s="13"/>
      <c r="E209" s="13"/>
      <c r="F209" s="13"/>
      <c r="G209" s="92"/>
      <c r="H209" s="251"/>
      <c r="I209" s="13"/>
      <c r="J209" s="269"/>
      <c r="K209" s="92"/>
      <c r="L209" s="13"/>
      <c r="M209" s="96"/>
      <c r="N209" s="13"/>
      <c r="O209" s="27">
        <f>SUM(E204:F208)-SUM(H204:H208)</f>
        <v>832.97</v>
      </c>
    </row>
    <row r="212" spans="2:18" ht="25.5" customHeight="1">
      <c r="B212" s="331" t="s">
        <v>148</v>
      </c>
      <c r="C212" s="331"/>
      <c r="D212" s="10"/>
      <c r="E212" s="3"/>
      <c r="F212" s="3"/>
      <c r="G212" s="90"/>
      <c r="H212" s="247"/>
      <c r="I212" s="3"/>
      <c r="J212" s="247"/>
      <c r="K212" s="90"/>
      <c r="L212" s="3"/>
      <c r="M212" s="95"/>
      <c r="N212" s="3"/>
      <c r="O212" s="2"/>
    </row>
    <row r="213" spans="2:18" ht="26.25" customHeight="1">
      <c r="B213" s="104" t="s">
        <v>1</v>
      </c>
      <c r="C213" s="22" t="s">
        <v>2</v>
      </c>
      <c r="D213" s="23" t="s">
        <v>3</v>
      </c>
      <c r="E213" s="22" t="s">
        <v>4</v>
      </c>
      <c r="F213" s="22" t="s">
        <v>5</v>
      </c>
      <c r="G213" s="99" t="s">
        <v>6</v>
      </c>
      <c r="H213" s="248" t="s">
        <v>7</v>
      </c>
      <c r="I213" s="12" t="s">
        <v>8</v>
      </c>
      <c r="J213" s="268" t="s">
        <v>9</v>
      </c>
      <c r="K213" s="91" t="s">
        <v>10</v>
      </c>
      <c r="L213" s="12" t="s">
        <v>11</v>
      </c>
      <c r="M213" s="97" t="s">
        <v>76</v>
      </c>
      <c r="N213" s="24" t="s">
        <v>11</v>
      </c>
      <c r="O213" s="5" t="s">
        <v>12</v>
      </c>
      <c r="Q213" s="26" t="s">
        <v>13</v>
      </c>
      <c r="R213" s="26" t="s">
        <v>14</v>
      </c>
    </row>
    <row r="214" spans="2:18" ht="15.75" customHeight="1">
      <c r="B214" s="211" t="s">
        <v>148</v>
      </c>
      <c r="C214" s="17">
        <v>45855</v>
      </c>
      <c r="D214" s="18"/>
      <c r="E214" s="213">
        <v>402.8</v>
      </c>
      <c r="F214" s="220"/>
      <c r="G214" s="17"/>
      <c r="H214" s="257"/>
      <c r="I214" s="214"/>
      <c r="J214" s="270"/>
      <c r="K214" s="17"/>
      <c r="L214" s="17"/>
      <c r="M214" s="19" t="s">
        <v>32</v>
      </c>
      <c r="N214" s="17">
        <v>45855</v>
      </c>
      <c r="O214" s="212"/>
      <c r="Q214" t="s">
        <v>149</v>
      </c>
    </row>
    <row r="215" spans="2:18" ht="15.75" customHeight="1">
      <c r="B215" s="89" t="s">
        <v>150</v>
      </c>
      <c r="C215" s="17"/>
      <c r="D215" s="18"/>
      <c r="E215" s="213"/>
      <c r="F215" s="213"/>
      <c r="G215" s="17">
        <v>45855</v>
      </c>
      <c r="H215" s="256">
        <v>402.8</v>
      </c>
      <c r="I215" t="s">
        <v>151</v>
      </c>
      <c r="J215" s="256">
        <v>402.8</v>
      </c>
      <c r="K215" s="17" t="s">
        <v>17</v>
      </c>
      <c r="L215" s="17">
        <v>45856</v>
      </c>
      <c r="M215" s="19"/>
      <c r="N215" s="17"/>
      <c r="O215" s="212"/>
      <c r="Q215" t="s">
        <v>149</v>
      </c>
    </row>
    <row r="216" spans="2:18" ht="15.75" customHeight="1">
      <c r="B216" s="125" t="s">
        <v>26</v>
      </c>
      <c r="C216" s="13"/>
      <c r="D216" s="13"/>
      <c r="E216" s="13"/>
      <c r="F216" s="13"/>
      <c r="G216" s="92"/>
      <c r="H216" s="251"/>
      <c r="I216" s="13"/>
      <c r="J216" s="269"/>
      <c r="K216" s="92"/>
      <c r="L216" s="13"/>
      <c r="M216" s="96"/>
      <c r="N216" s="13"/>
      <c r="O216" s="27">
        <f>SUM(E214:F215)-SUM(H214:H215)</f>
        <v>0</v>
      </c>
    </row>
    <row r="218" spans="2:18" ht="26.25" customHeight="1">
      <c r="B218" s="332" t="s">
        <v>152</v>
      </c>
      <c r="C218" s="332"/>
      <c r="D218" s="10"/>
      <c r="E218" s="3"/>
      <c r="F218" s="3"/>
      <c r="G218" s="90"/>
      <c r="H218" s="247"/>
      <c r="I218" s="3"/>
      <c r="J218" s="247"/>
      <c r="K218" s="90"/>
      <c r="L218" s="3"/>
      <c r="M218" s="95"/>
      <c r="N218" s="3"/>
      <c r="O218" s="2"/>
    </row>
    <row r="219" spans="2:18" ht="27.75" customHeight="1">
      <c r="B219" s="104" t="s">
        <v>1</v>
      </c>
      <c r="C219" s="22" t="s">
        <v>2</v>
      </c>
      <c r="D219" s="23" t="s">
        <v>3</v>
      </c>
      <c r="E219" s="22" t="s">
        <v>4</v>
      </c>
      <c r="F219" s="22" t="s">
        <v>5</v>
      </c>
      <c r="G219" s="99" t="s">
        <v>6</v>
      </c>
      <c r="H219" s="248" t="s">
        <v>7</v>
      </c>
      <c r="I219" s="12" t="s">
        <v>8</v>
      </c>
      <c r="J219" s="268" t="s">
        <v>9</v>
      </c>
      <c r="K219" s="91" t="s">
        <v>10</v>
      </c>
      <c r="L219" s="12" t="s">
        <v>11</v>
      </c>
      <c r="M219" s="97" t="s">
        <v>76</v>
      </c>
      <c r="N219" s="24" t="s">
        <v>11</v>
      </c>
      <c r="O219" s="5" t="s">
        <v>12</v>
      </c>
      <c r="Q219" s="26" t="s">
        <v>13</v>
      </c>
      <c r="R219" s="26" t="s">
        <v>14</v>
      </c>
    </row>
    <row r="220" spans="2:18" ht="15.75" customHeight="1">
      <c r="B220" s="211" t="s">
        <v>152</v>
      </c>
      <c r="C220" s="17">
        <v>45979</v>
      </c>
      <c r="D220" s="18">
        <v>2558</v>
      </c>
      <c r="E220" s="220">
        <v>59372.74</v>
      </c>
      <c r="F220" s="220"/>
      <c r="G220" s="17"/>
      <c r="H220" s="259"/>
      <c r="I220" s="214"/>
      <c r="J220" s="270"/>
      <c r="K220" s="17"/>
      <c r="L220" s="17"/>
      <c r="M220" s="19"/>
      <c r="N220" s="17"/>
      <c r="O220" s="212"/>
    </row>
    <row r="221" spans="2:18" ht="15.75" customHeight="1">
      <c r="B221" s="229" t="s">
        <v>152</v>
      </c>
      <c r="C221" s="17"/>
      <c r="D221" s="18"/>
      <c r="F221" s="220">
        <v>59372.74</v>
      </c>
      <c r="G221" s="17"/>
      <c r="H221" s="260"/>
      <c r="I221" s="50"/>
      <c r="K221" s="17"/>
      <c r="L221" s="17"/>
      <c r="M221" s="19"/>
      <c r="N221" s="17"/>
      <c r="O221" s="212"/>
    </row>
    <row r="222" spans="2:18" ht="15.75" customHeight="1">
      <c r="B222" s="229" t="s">
        <v>16</v>
      </c>
      <c r="C222" s="227"/>
      <c r="D222" s="228"/>
      <c r="E222" s="229"/>
      <c r="F222" s="229"/>
      <c r="G222" s="245">
        <v>46066</v>
      </c>
      <c r="H222" s="277">
        <v>33519.32</v>
      </c>
      <c r="I222" s="277"/>
      <c r="J222" s="277"/>
      <c r="K222" s="227" t="s">
        <v>17</v>
      </c>
      <c r="L222" s="227"/>
      <c r="M222" s="230"/>
      <c r="N222" s="227"/>
      <c r="O222" s="231"/>
      <c r="Q222" t="s">
        <v>153</v>
      </c>
    </row>
    <row r="223" spans="2:18" ht="15.75" customHeight="1">
      <c r="B223" s="229" t="s">
        <v>53</v>
      </c>
      <c r="C223" s="227"/>
      <c r="D223" s="228"/>
      <c r="E223" s="229"/>
      <c r="F223" s="229"/>
      <c r="G223" s="245">
        <v>46055</v>
      </c>
      <c r="H223" s="277">
        <v>21265.200000000001</v>
      </c>
      <c r="I223" s="277"/>
      <c r="J223" s="277"/>
      <c r="K223" s="227"/>
      <c r="L223" s="227"/>
      <c r="M223" s="230"/>
      <c r="N223" s="227"/>
      <c r="O223" s="231"/>
      <c r="Q223" t="s">
        <v>153</v>
      </c>
    </row>
    <row r="224" spans="2:18" ht="15.75" customHeight="1">
      <c r="B224" s="234" t="s">
        <v>82</v>
      </c>
      <c r="C224" s="227"/>
      <c r="D224" s="228"/>
      <c r="E224" s="229"/>
      <c r="F224" s="229"/>
      <c r="G224" s="245">
        <v>46042</v>
      </c>
      <c r="H224" s="277">
        <v>2738.8</v>
      </c>
      <c r="I224" s="277" t="s">
        <v>154</v>
      </c>
      <c r="J224" s="277">
        <v>2738.8</v>
      </c>
      <c r="K224" s="227"/>
      <c r="L224" s="227"/>
      <c r="M224" s="230"/>
      <c r="N224" s="227"/>
      <c r="O224" s="231"/>
      <c r="Q224" t="s">
        <v>155</v>
      </c>
    </row>
    <row r="225" spans="2:18" ht="15.75" customHeight="1">
      <c r="B225" s="234" t="s">
        <v>156</v>
      </c>
      <c r="C225" s="227"/>
      <c r="D225" s="228"/>
      <c r="E225" s="229"/>
      <c r="F225" s="229"/>
      <c r="G225" s="245">
        <v>46042</v>
      </c>
      <c r="H225" s="277">
        <v>991.9</v>
      </c>
      <c r="I225" s="277" t="s">
        <v>157</v>
      </c>
      <c r="J225" s="277">
        <v>991.9</v>
      </c>
      <c r="K225" s="227" t="s">
        <v>17</v>
      </c>
      <c r="L225" s="227">
        <v>46104</v>
      </c>
      <c r="M225" s="230"/>
      <c r="N225" s="227"/>
      <c r="O225" s="231"/>
      <c r="Q225" t="s">
        <v>158</v>
      </c>
    </row>
    <row r="226" spans="2:18" ht="15.75" customHeight="1">
      <c r="B226" s="234" t="s">
        <v>19</v>
      </c>
      <c r="C226" s="227"/>
      <c r="D226" s="228"/>
      <c r="E226" s="229"/>
      <c r="F226" s="229"/>
      <c r="G226" s="245">
        <v>46049</v>
      </c>
      <c r="H226" s="260">
        <v>1420</v>
      </c>
      <c r="I226" s="50" t="s">
        <v>159</v>
      </c>
      <c r="J226" s="260">
        <v>1420</v>
      </c>
      <c r="K226" s="227" t="s">
        <v>17</v>
      </c>
      <c r="L226" s="227">
        <v>46055</v>
      </c>
      <c r="M226" s="230"/>
      <c r="N226" s="227"/>
      <c r="O226" s="231"/>
      <c r="Q226" t="s">
        <v>158</v>
      </c>
    </row>
    <row r="227" spans="2:18" ht="15.75" customHeight="1">
      <c r="B227" s="234" t="s">
        <v>160</v>
      </c>
      <c r="C227" s="227"/>
      <c r="D227" s="228"/>
      <c r="E227" s="229"/>
      <c r="F227" s="229"/>
      <c r="G227" s="245">
        <v>46035</v>
      </c>
      <c r="H227" s="261">
        <v>7579.76</v>
      </c>
      <c r="I227" s="50" t="s">
        <v>161</v>
      </c>
      <c r="J227" s="261">
        <v>7579.76</v>
      </c>
      <c r="K227" s="227" t="s">
        <v>17</v>
      </c>
      <c r="L227" s="227">
        <v>46062</v>
      </c>
      <c r="M227" s="230"/>
      <c r="N227" s="227"/>
      <c r="O227" s="231"/>
      <c r="Q227" t="s">
        <v>153</v>
      </c>
    </row>
    <row r="228" spans="2:18" ht="15.75" customHeight="1">
      <c r="B228" s="234" t="s">
        <v>162</v>
      </c>
      <c r="C228" s="227"/>
      <c r="D228" s="228"/>
      <c r="E228" s="229"/>
      <c r="F228" s="229"/>
      <c r="G228" s="245" t="s">
        <v>163</v>
      </c>
      <c r="H228" s="261">
        <v>84</v>
      </c>
      <c r="I228" s="50">
        <v>1238124300</v>
      </c>
      <c r="J228" s="261">
        <v>84</v>
      </c>
      <c r="K228" s="227" t="s">
        <v>17</v>
      </c>
      <c r="L228" s="227">
        <v>45980</v>
      </c>
      <c r="M228" s="230"/>
      <c r="N228" s="227"/>
      <c r="O228" s="231"/>
      <c r="Q228" t="s">
        <v>164</v>
      </c>
    </row>
    <row r="229" spans="2:18" ht="15.75" customHeight="1">
      <c r="B229" s="229" t="s">
        <v>165</v>
      </c>
      <c r="C229" s="227"/>
      <c r="D229" s="228"/>
      <c r="E229" s="229"/>
      <c r="F229" s="229"/>
      <c r="G229" s="245">
        <v>46035</v>
      </c>
      <c r="H229" s="277">
        <v>10740</v>
      </c>
      <c r="I229" s="277"/>
      <c r="J229" s="277"/>
      <c r="K229" s="227"/>
      <c r="L229" s="227"/>
      <c r="M229" s="230"/>
      <c r="N229" s="227"/>
      <c r="O229" s="231"/>
      <c r="Q229" t="s">
        <v>166</v>
      </c>
    </row>
    <row r="230" spans="2:18" ht="15.75" customHeight="1">
      <c r="B230" s="229" t="s">
        <v>167</v>
      </c>
      <c r="C230" s="227"/>
      <c r="D230" s="228"/>
      <c r="E230" s="229"/>
      <c r="F230" s="229"/>
      <c r="G230" s="245">
        <v>46055</v>
      </c>
      <c r="H230" s="277">
        <v>849.17</v>
      </c>
      <c r="I230" s="277"/>
      <c r="J230" s="277"/>
      <c r="K230" s="227"/>
      <c r="L230" s="227"/>
      <c r="M230" s="230"/>
      <c r="N230" s="227"/>
      <c r="O230" s="231"/>
      <c r="Q230" t="s">
        <v>158</v>
      </c>
    </row>
    <row r="231" spans="2:18" ht="15.75" customHeight="1">
      <c r="B231" s="234" t="s">
        <v>168</v>
      </c>
      <c r="C231" s="227"/>
      <c r="D231" s="228"/>
      <c r="E231" s="229"/>
      <c r="F231" s="229"/>
      <c r="G231" s="245">
        <v>46059</v>
      </c>
      <c r="H231" s="260">
        <v>499.69</v>
      </c>
      <c r="I231" s="50">
        <v>44007256</v>
      </c>
      <c r="J231" s="260">
        <v>499.69</v>
      </c>
      <c r="K231" s="227" t="s">
        <v>17</v>
      </c>
      <c r="L231" s="227">
        <v>46062</v>
      </c>
      <c r="M231" s="230"/>
      <c r="N231" s="227"/>
      <c r="O231" s="231"/>
      <c r="Q231" t="s">
        <v>169</v>
      </c>
    </row>
    <row r="232" spans="2:18" ht="15.75" customHeight="1">
      <c r="B232" s="229" t="s">
        <v>24</v>
      </c>
      <c r="C232" s="227"/>
      <c r="D232" s="228"/>
      <c r="E232" s="229"/>
      <c r="F232" s="229"/>
      <c r="G232" s="227"/>
      <c r="H232" s="277">
        <v>7999</v>
      </c>
      <c r="I232" s="278"/>
      <c r="J232" s="277"/>
      <c r="K232" s="227"/>
      <c r="L232" s="227"/>
      <c r="M232" s="230"/>
      <c r="N232" s="227"/>
      <c r="O232" s="231"/>
    </row>
    <row r="233" spans="2:18" ht="15.75" customHeight="1">
      <c r="B233" s="125" t="s">
        <v>26</v>
      </c>
      <c r="C233" s="13"/>
      <c r="D233" s="13"/>
      <c r="E233" s="13"/>
      <c r="F233" s="13"/>
      <c r="G233" s="92"/>
      <c r="H233" s="251"/>
      <c r="I233" s="13"/>
      <c r="J233" s="269"/>
      <c r="K233" s="92"/>
      <c r="L233" s="13"/>
      <c r="M233" s="96"/>
      <c r="N233" s="13"/>
      <c r="O233" s="27">
        <f>SUM(E220:F232)-SUM(H220:H232)</f>
        <v>31058.639999999985</v>
      </c>
    </row>
    <row r="234" spans="2:18" ht="16.5" customHeight="1"/>
    <row r="236" spans="2:18" ht="44.25" customHeight="1">
      <c r="B236" s="331" t="s">
        <v>170</v>
      </c>
      <c r="C236" s="331"/>
      <c r="D236" s="10"/>
      <c r="E236" s="3"/>
      <c r="F236" s="3"/>
      <c r="G236" s="90"/>
      <c r="H236" s="247"/>
      <c r="I236" s="3"/>
      <c r="J236" s="247"/>
      <c r="K236" s="90"/>
      <c r="L236" s="3"/>
      <c r="M236" s="95"/>
      <c r="N236" s="3"/>
      <c r="O236" s="2"/>
    </row>
    <row r="237" spans="2:18" ht="25.5" customHeight="1">
      <c r="B237" s="104" t="s">
        <v>1</v>
      </c>
      <c r="C237" s="22" t="s">
        <v>2</v>
      </c>
      <c r="D237" s="23" t="s">
        <v>3</v>
      </c>
      <c r="E237" s="22" t="s">
        <v>4</v>
      </c>
      <c r="F237" s="22" t="s">
        <v>5</v>
      </c>
      <c r="G237" s="99" t="s">
        <v>6</v>
      </c>
      <c r="H237" s="248" t="s">
        <v>7</v>
      </c>
      <c r="I237" s="12" t="s">
        <v>8</v>
      </c>
      <c r="J237" s="268" t="s">
        <v>9</v>
      </c>
      <c r="K237" s="91" t="s">
        <v>10</v>
      </c>
      <c r="L237" s="12" t="s">
        <v>11</v>
      </c>
      <c r="M237" s="97" t="s">
        <v>76</v>
      </c>
      <c r="N237" s="24" t="s">
        <v>11</v>
      </c>
      <c r="O237" s="5" t="s">
        <v>12</v>
      </c>
      <c r="Q237" s="26" t="s">
        <v>13</v>
      </c>
      <c r="R237" s="26" t="s">
        <v>14</v>
      </c>
    </row>
    <row r="238" spans="2:18" ht="15.75" customHeight="1">
      <c r="B238" s="211" t="s">
        <v>170</v>
      </c>
      <c r="C238" s="17">
        <v>45908</v>
      </c>
      <c r="D238" s="18">
        <v>2535</v>
      </c>
      <c r="E238" s="220">
        <v>2579.1999999999998</v>
      </c>
      <c r="F238" s="220"/>
      <c r="G238" s="17"/>
      <c r="H238" s="257"/>
      <c r="I238" s="214"/>
      <c r="J238" s="270"/>
      <c r="K238" s="17"/>
      <c r="L238" s="17"/>
      <c r="M238" s="19" t="s">
        <v>32</v>
      </c>
      <c r="N238" s="17">
        <v>45925</v>
      </c>
      <c r="O238" s="212"/>
    </row>
    <row r="239" spans="2:18" ht="15.75" customHeight="1">
      <c r="B239" s="234" t="s">
        <v>160</v>
      </c>
      <c r="C239" s="17"/>
      <c r="D239" s="18"/>
      <c r="E239" s="213"/>
      <c r="F239" s="87"/>
      <c r="G239" s="17">
        <v>45879</v>
      </c>
      <c r="H239" s="256">
        <v>1488.82</v>
      </c>
      <c r="I239" t="s">
        <v>171</v>
      </c>
      <c r="J239" s="256">
        <v>1488.82</v>
      </c>
      <c r="K239" s="17" t="s">
        <v>17</v>
      </c>
      <c r="L239" s="17">
        <v>45887</v>
      </c>
      <c r="M239" s="19"/>
      <c r="N239" s="17"/>
      <c r="O239" s="212"/>
    </row>
    <row r="240" spans="2:18" ht="15.75" customHeight="1">
      <c r="B240" s="125" t="s">
        <v>26</v>
      </c>
      <c r="C240" s="13"/>
      <c r="D240" s="13"/>
      <c r="E240" s="13"/>
      <c r="F240" s="13"/>
      <c r="G240" s="92"/>
      <c r="H240" s="251"/>
      <c r="I240" s="13"/>
      <c r="J240" s="269"/>
      <c r="K240" s="92"/>
      <c r="L240" s="13"/>
      <c r="M240" s="96"/>
      <c r="N240" s="13"/>
      <c r="O240" s="27">
        <f>SUM(E238:F239)-SUM(H238:H239)</f>
        <v>1090.3799999999999</v>
      </c>
    </row>
    <row r="243" spans="2:18" ht="27.75" customHeight="1">
      <c r="B243" s="331" t="s">
        <v>172</v>
      </c>
      <c r="C243" s="331"/>
      <c r="D243" s="10"/>
      <c r="E243" s="3"/>
      <c r="F243" s="3"/>
      <c r="G243" s="90"/>
      <c r="H243" s="247"/>
      <c r="I243" s="3"/>
      <c r="J243" s="247"/>
      <c r="K243" s="90"/>
      <c r="L243" s="3"/>
      <c r="M243" s="95"/>
      <c r="N243" s="3"/>
      <c r="O243" s="2"/>
    </row>
    <row r="244" spans="2:18" ht="27.75" customHeight="1">
      <c r="B244" s="104" t="s">
        <v>1</v>
      </c>
      <c r="C244" s="22" t="s">
        <v>2</v>
      </c>
      <c r="D244" s="23" t="s">
        <v>3</v>
      </c>
      <c r="E244" s="22" t="s">
        <v>4</v>
      </c>
      <c r="F244" s="22" t="s">
        <v>5</v>
      </c>
      <c r="G244" s="99" t="s">
        <v>6</v>
      </c>
      <c r="H244" s="248" t="s">
        <v>7</v>
      </c>
      <c r="I244" s="12" t="s">
        <v>8</v>
      </c>
      <c r="J244" s="268" t="s">
        <v>9</v>
      </c>
      <c r="K244" s="91" t="s">
        <v>10</v>
      </c>
      <c r="L244" s="12" t="s">
        <v>11</v>
      </c>
      <c r="M244" s="97" t="s">
        <v>76</v>
      </c>
      <c r="N244" s="24" t="s">
        <v>11</v>
      </c>
      <c r="O244" s="5" t="s">
        <v>12</v>
      </c>
      <c r="Q244" s="26" t="s">
        <v>13</v>
      </c>
      <c r="R244" s="26" t="s">
        <v>14</v>
      </c>
    </row>
    <row r="245" spans="2:18" ht="15.75" customHeight="1">
      <c r="B245" s="211" t="s">
        <v>172</v>
      </c>
      <c r="C245" s="17">
        <v>45889</v>
      </c>
      <c r="D245" s="18">
        <v>2534</v>
      </c>
      <c r="E245" s="213">
        <v>249.18</v>
      </c>
      <c r="F245" s="220"/>
      <c r="G245" s="17"/>
      <c r="H245" s="257"/>
      <c r="I245" s="214"/>
      <c r="J245" s="270"/>
      <c r="K245" s="17"/>
      <c r="L245" s="17"/>
      <c r="M245" s="19" t="s">
        <v>32</v>
      </c>
      <c r="N245" s="17">
        <v>45894</v>
      </c>
      <c r="O245" s="212"/>
    </row>
    <row r="246" spans="2:18" ht="15.75" customHeight="1">
      <c r="B246" s="234" t="s">
        <v>173</v>
      </c>
      <c r="C246" s="17"/>
      <c r="D246" s="18"/>
      <c r="E246" s="213"/>
      <c r="F246" s="220"/>
      <c r="G246" s="17">
        <v>45894</v>
      </c>
      <c r="H246" s="256">
        <v>201.4</v>
      </c>
      <c r="I246" t="s">
        <v>174</v>
      </c>
      <c r="J246" s="256">
        <v>201.4</v>
      </c>
      <c r="K246" s="17" t="s">
        <v>17</v>
      </c>
      <c r="L246" s="17">
        <v>45894</v>
      </c>
      <c r="M246" s="19"/>
      <c r="N246" s="17"/>
      <c r="O246" s="212"/>
    </row>
    <row r="247" spans="2:18" ht="15.75" customHeight="1">
      <c r="B247" s="125" t="s">
        <v>26</v>
      </c>
      <c r="C247" s="13"/>
      <c r="D247" s="13"/>
      <c r="E247" s="13"/>
      <c r="F247" s="13"/>
      <c r="G247" s="92"/>
      <c r="H247" s="251"/>
      <c r="I247" s="13"/>
      <c r="J247" s="269"/>
      <c r="K247" s="92"/>
      <c r="L247" s="13"/>
      <c r="M247" s="96"/>
      <c r="N247" s="13"/>
      <c r="O247" s="27">
        <f>SUM(E245:F246)-SUM(H245:H246)</f>
        <v>47.78</v>
      </c>
    </row>
    <row r="250" spans="2:18" ht="25.5" customHeight="1">
      <c r="B250" s="331" t="s">
        <v>175</v>
      </c>
      <c r="C250" s="331"/>
      <c r="D250" s="10"/>
      <c r="E250" s="3"/>
      <c r="F250" s="3"/>
      <c r="G250" s="90"/>
      <c r="H250" s="247"/>
      <c r="I250" s="3"/>
      <c r="J250" s="247"/>
      <c r="K250" s="90"/>
      <c r="L250" s="3"/>
      <c r="M250" s="95"/>
      <c r="N250" s="3"/>
      <c r="O250" s="2"/>
    </row>
    <row r="251" spans="2:18" ht="27.75" customHeight="1">
      <c r="B251" s="104" t="s">
        <v>1</v>
      </c>
      <c r="C251" s="22" t="s">
        <v>2</v>
      </c>
      <c r="D251" s="23" t="s">
        <v>3</v>
      </c>
      <c r="E251" s="22" t="s">
        <v>4</v>
      </c>
      <c r="F251" s="22" t="s">
        <v>5</v>
      </c>
      <c r="G251" s="99" t="s">
        <v>6</v>
      </c>
      <c r="H251" s="248" t="s">
        <v>7</v>
      </c>
      <c r="I251" s="12" t="s">
        <v>8</v>
      </c>
      <c r="J251" s="268" t="s">
        <v>9</v>
      </c>
      <c r="K251" s="91" t="s">
        <v>10</v>
      </c>
      <c r="L251" s="12" t="s">
        <v>11</v>
      </c>
      <c r="M251" s="97" t="s">
        <v>76</v>
      </c>
      <c r="N251" s="24" t="s">
        <v>11</v>
      </c>
      <c r="O251" s="5" t="s">
        <v>12</v>
      </c>
      <c r="Q251" s="26" t="s">
        <v>13</v>
      </c>
      <c r="R251" s="26" t="s">
        <v>14</v>
      </c>
    </row>
    <row r="252" spans="2:18" ht="15.75" customHeight="1">
      <c r="B252" s="211" t="s">
        <v>175</v>
      </c>
      <c r="C252" s="17">
        <v>45961</v>
      </c>
      <c r="D252" s="18">
        <v>2553</v>
      </c>
      <c r="E252" s="220">
        <v>1748.7</v>
      </c>
      <c r="F252" s="220"/>
      <c r="G252" s="17"/>
      <c r="H252" s="257"/>
      <c r="I252" s="214"/>
      <c r="J252" s="270"/>
      <c r="K252" s="17"/>
      <c r="L252" s="17"/>
      <c r="M252" s="220">
        <v>1748.7</v>
      </c>
      <c r="N252" s="17">
        <v>45968</v>
      </c>
      <c r="O252" s="212"/>
    </row>
    <row r="253" spans="2:18" ht="15.75" customHeight="1">
      <c r="B253" s="234" t="s">
        <v>16</v>
      </c>
      <c r="C253" s="17"/>
      <c r="D253" s="18"/>
      <c r="E253" s="213"/>
      <c r="F253" s="220"/>
      <c r="G253" s="17">
        <v>45925</v>
      </c>
      <c r="H253" s="262">
        <v>788</v>
      </c>
      <c r="I253" t="s">
        <v>176</v>
      </c>
      <c r="J253" s="256">
        <v>788</v>
      </c>
      <c r="K253" s="17" t="s">
        <v>17</v>
      </c>
      <c r="L253" s="17">
        <v>45957</v>
      </c>
      <c r="M253" s="19" t="s">
        <v>32</v>
      </c>
      <c r="N253" s="17">
        <v>45957</v>
      </c>
      <c r="O253" s="212"/>
    </row>
    <row r="254" spans="2:18" ht="15.75" customHeight="1">
      <c r="B254" s="234" t="s">
        <v>52</v>
      </c>
      <c r="C254" s="227"/>
      <c r="D254" s="228"/>
      <c r="E254" s="229"/>
      <c r="F254" s="220"/>
      <c r="G254" s="17">
        <v>45925</v>
      </c>
      <c r="H254" s="256">
        <v>220.86</v>
      </c>
      <c r="I254">
        <v>2025</v>
      </c>
      <c r="J254" s="256">
        <v>220.86</v>
      </c>
      <c r="K254" s="227" t="s">
        <v>17</v>
      </c>
      <c r="L254" s="227">
        <v>45961</v>
      </c>
      <c r="M254" s="230"/>
      <c r="N254" s="227"/>
      <c r="O254" s="231"/>
    </row>
    <row r="255" spans="2:18" ht="15.75" customHeight="1">
      <c r="B255" s="234" t="s">
        <v>177</v>
      </c>
      <c r="C255" s="227"/>
      <c r="D255" s="228"/>
      <c r="E255" s="229"/>
      <c r="F255" s="220"/>
      <c r="G255" s="17">
        <v>45966</v>
      </c>
      <c r="H255" s="256">
        <v>290</v>
      </c>
      <c r="I255" s="238" t="s">
        <v>178</v>
      </c>
      <c r="J255" s="256">
        <v>285</v>
      </c>
      <c r="K255" s="227" t="s">
        <v>17</v>
      </c>
      <c r="L255" s="227">
        <v>45972</v>
      </c>
      <c r="M255" s="230"/>
      <c r="N255" s="227"/>
      <c r="O255" s="231"/>
    </row>
    <row r="256" spans="2:18" ht="15.75" customHeight="1">
      <c r="B256" s="125" t="s">
        <v>26</v>
      </c>
      <c r="C256" s="13"/>
      <c r="D256" s="13"/>
      <c r="E256" s="13"/>
      <c r="F256" s="13"/>
      <c r="G256" s="92"/>
      <c r="H256" s="251"/>
      <c r="I256" s="13"/>
      <c r="J256" s="269"/>
      <c r="K256" s="92"/>
      <c r="L256" s="13"/>
      <c r="M256" s="96"/>
      <c r="N256" s="13"/>
      <c r="O256" s="27">
        <f>SUM(E252:F255)-SUM(H252:H255)</f>
        <v>449.83999999999992</v>
      </c>
    </row>
    <row r="259" spans="2:18" ht="23.25" customHeight="1">
      <c r="B259" s="331" t="s">
        <v>179</v>
      </c>
      <c r="C259" s="331"/>
      <c r="D259" s="10"/>
      <c r="E259" s="3"/>
      <c r="F259" s="3"/>
      <c r="G259" s="90"/>
      <c r="H259" s="247"/>
      <c r="I259" s="3"/>
      <c r="J259" s="247"/>
      <c r="K259" s="90"/>
      <c r="L259" s="3"/>
      <c r="M259" s="95"/>
      <c r="N259" s="3"/>
      <c r="O259" s="2"/>
    </row>
    <row r="260" spans="2:18" ht="27.75" customHeight="1">
      <c r="B260" s="104" t="s">
        <v>1</v>
      </c>
      <c r="C260" s="22" t="s">
        <v>2</v>
      </c>
      <c r="D260" s="23" t="s">
        <v>3</v>
      </c>
      <c r="E260" s="22" t="s">
        <v>4</v>
      </c>
      <c r="F260" s="22" t="s">
        <v>5</v>
      </c>
      <c r="G260" s="99" t="s">
        <v>6</v>
      </c>
      <c r="H260" s="248" t="s">
        <v>7</v>
      </c>
      <c r="I260" s="12" t="s">
        <v>8</v>
      </c>
      <c r="J260" s="268" t="s">
        <v>9</v>
      </c>
      <c r="K260" s="91" t="s">
        <v>10</v>
      </c>
      <c r="L260" s="12" t="s">
        <v>11</v>
      </c>
      <c r="M260" s="97" t="s">
        <v>76</v>
      </c>
      <c r="N260" s="24" t="s">
        <v>11</v>
      </c>
      <c r="O260" s="5" t="s">
        <v>12</v>
      </c>
      <c r="Q260" s="26" t="s">
        <v>13</v>
      </c>
      <c r="R260" s="26" t="s">
        <v>14</v>
      </c>
    </row>
    <row r="261" spans="2:18" ht="15.75" customHeight="1">
      <c r="B261" s="211" t="s">
        <v>179</v>
      </c>
      <c r="C261" s="17">
        <v>45952</v>
      </c>
      <c r="D261" s="18">
        <v>2551</v>
      </c>
      <c r="E261" s="220">
        <v>1524.9</v>
      </c>
      <c r="F261" s="220"/>
      <c r="G261" s="17"/>
      <c r="H261" s="257"/>
      <c r="I261" s="214"/>
      <c r="J261" s="270"/>
      <c r="K261" s="17"/>
      <c r="L261" s="17"/>
      <c r="M261" s="19"/>
      <c r="N261" s="17"/>
      <c r="O261" s="212"/>
    </row>
    <row r="262" spans="2:18" ht="15.75" customHeight="1">
      <c r="B262" s="234" t="s">
        <v>16</v>
      </c>
      <c r="C262" s="17"/>
      <c r="D262" s="18"/>
      <c r="E262" s="213"/>
      <c r="F262" s="220"/>
      <c r="G262" s="17"/>
      <c r="H262" s="262">
        <v>1056</v>
      </c>
      <c r="I262" t="s">
        <v>180</v>
      </c>
      <c r="J262" s="262">
        <v>1056</v>
      </c>
      <c r="K262" s="17" t="s">
        <v>17</v>
      </c>
      <c r="L262" s="17">
        <v>45943</v>
      </c>
      <c r="M262" s="19"/>
      <c r="N262" s="17"/>
      <c r="O262" s="212"/>
    </row>
    <row r="263" spans="2:18" ht="15.75" customHeight="1">
      <c r="B263" s="125" t="s">
        <v>26</v>
      </c>
      <c r="C263" s="13"/>
      <c r="D263" s="13"/>
      <c r="E263" s="13"/>
      <c r="F263" s="13"/>
      <c r="G263" s="92"/>
      <c r="H263" s="251"/>
      <c r="I263" s="13"/>
      <c r="J263" s="269"/>
      <c r="K263" s="92"/>
      <c r="L263" s="13"/>
      <c r="M263" s="96"/>
      <c r="N263" s="13"/>
      <c r="O263" s="27">
        <f>SUM(E261:F262)-SUM(H261:H262)</f>
        <v>468.90000000000009</v>
      </c>
    </row>
    <row r="266" spans="2:18" ht="30.75" customHeight="1">
      <c r="B266" s="331" t="s">
        <v>181</v>
      </c>
      <c r="C266" s="331"/>
      <c r="D266" s="10"/>
      <c r="E266" s="3"/>
      <c r="F266" s="3"/>
      <c r="G266" s="90"/>
      <c r="H266" s="247"/>
      <c r="I266" s="3"/>
      <c r="J266" s="247"/>
      <c r="K266" s="90"/>
      <c r="L266" s="3"/>
      <c r="M266" s="95"/>
      <c r="N266" s="3"/>
      <c r="O266" s="2"/>
    </row>
    <row r="267" spans="2:18" ht="27.75" customHeight="1">
      <c r="B267" s="104" t="s">
        <v>1</v>
      </c>
      <c r="C267" s="22" t="s">
        <v>2</v>
      </c>
      <c r="D267" s="23" t="s">
        <v>3</v>
      </c>
      <c r="E267" s="22" t="s">
        <v>4</v>
      </c>
      <c r="F267" s="22" t="s">
        <v>5</v>
      </c>
      <c r="G267" s="99" t="s">
        <v>6</v>
      </c>
      <c r="H267" s="248" t="s">
        <v>7</v>
      </c>
      <c r="I267" s="12" t="s">
        <v>8</v>
      </c>
      <c r="J267" s="268" t="s">
        <v>9</v>
      </c>
      <c r="K267" s="91" t="s">
        <v>10</v>
      </c>
      <c r="L267" s="12" t="s">
        <v>11</v>
      </c>
      <c r="M267" s="97" t="s">
        <v>76</v>
      </c>
      <c r="N267" s="24" t="s">
        <v>11</v>
      </c>
      <c r="O267" s="5" t="s">
        <v>12</v>
      </c>
      <c r="Q267" s="26" t="s">
        <v>13</v>
      </c>
      <c r="R267" s="26" t="s">
        <v>14</v>
      </c>
    </row>
    <row r="268" spans="2:18" ht="15.75" customHeight="1">
      <c r="B268" s="211" t="s">
        <v>181</v>
      </c>
      <c r="C268" s="17">
        <v>45918</v>
      </c>
      <c r="D268" s="18">
        <v>2541</v>
      </c>
      <c r="E268" s="213">
        <v>624.22</v>
      </c>
      <c r="F268" s="220"/>
      <c r="G268" s="17"/>
      <c r="H268" s="257"/>
      <c r="I268" s="214"/>
      <c r="J268" s="270"/>
      <c r="K268" s="17"/>
      <c r="L268" s="17"/>
      <c r="M268" s="19" t="s">
        <v>63</v>
      </c>
      <c r="N268" s="17">
        <v>45919</v>
      </c>
      <c r="O268" s="212"/>
    </row>
    <row r="269" spans="2:18" ht="15.75" customHeight="1">
      <c r="B269" s="234" t="s">
        <v>16</v>
      </c>
      <c r="C269" s="17"/>
      <c r="D269" s="18"/>
      <c r="E269" s="213"/>
      <c r="F269" s="220"/>
      <c r="G269" s="17">
        <v>45919</v>
      </c>
      <c r="H269" s="262">
        <v>312</v>
      </c>
      <c r="I269" t="s">
        <v>182</v>
      </c>
      <c r="J269" s="256">
        <v>312</v>
      </c>
      <c r="K269" s="17" t="s">
        <v>17</v>
      </c>
      <c r="L269" s="17">
        <v>45940</v>
      </c>
      <c r="M269" s="19"/>
      <c r="N269" s="17"/>
      <c r="O269" s="212"/>
    </row>
    <row r="270" spans="2:18" ht="15.75" customHeight="1">
      <c r="B270" s="125" t="s">
        <v>26</v>
      </c>
      <c r="C270" s="13"/>
      <c r="D270" s="13"/>
      <c r="E270" s="13"/>
      <c r="F270" s="13"/>
      <c r="G270" s="92"/>
      <c r="H270" s="251"/>
      <c r="I270" s="13"/>
      <c r="J270" s="269"/>
      <c r="K270" s="92"/>
      <c r="L270" s="13"/>
      <c r="M270" s="96"/>
      <c r="N270" s="13"/>
      <c r="O270" s="27">
        <f>SUM(E268:F269)-SUM(H268:H269)</f>
        <v>312.22000000000003</v>
      </c>
    </row>
    <row r="273" spans="2:18" ht="24.75" customHeight="1">
      <c r="B273" s="331" t="s">
        <v>183</v>
      </c>
      <c r="C273" s="331"/>
      <c r="D273" s="10"/>
      <c r="E273" s="3"/>
      <c r="F273" s="3"/>
      <c r="G273" s="90"/>
      <c r="H273" s="247"/>
      <c r="I273" s="3"/>
      <c r="J273" s="247"/>
      <c r="K273" s="90"/>
      <c r="L273" s="3"/>
      <c r="M273" s="95"/>
      <c r="N273" s="3"/>
      <c r="O273" s="2"/>
    </row>
    <row r="274" spans="2:18" ht="24.75" customHeight="1">
      <c r="B274" s="246" t="s">
        <v>1</v>
      </c>
      <c r="C274" s="22" t="s">
        <v>2</v>
      </c>
      <c r="D274" s="23" t="s">
        <v>3</v>
      </c>
      <c r="E274" s="22" t="s">
        <v>4</v>
      </c>
      <c r="F274" s="22" t="s">
        <v>5</v>
      </c>
      <c r="G274" s="99" t="s">
        <v>6</v>
      </c>
      <c r="H274" s="248" t="s">
        <v>7</v>
      </c>
      <c r="I274" s="12" t="s">
        <v>8</v>
      </c>
      <c r="J274" s="268" t="s">
        <v>9</v>
      </c>
      <c r="K274" s="91" t="s">
        <v>10</v>
      </c>
      <c r="L274" s="12" t="s">
        <v>11</v>
      </c>
      <c r="M274" s="97" t="s">
        <v>76</v>
      </c>
      <c r="N274" s="24" t="s">
        <v>11</v>
      </c>
      <c r="O274" s="5" t="s">
        <v>12</v>
      </c>
      <c r="Q274" s="26" t="s">
        <v>13</v>
      </c>
      <c r="R274" s="26" t="s">
        <v>14</v>
      </c>
    </row>
    <row r="275" spans="2:18" ht="15.75" customHeight="1">
      <c r="B275" s="211" t="s">
        <v>184</v>
      </c>
      <c r="C275" s="244">
        <v>45966</v>
      </c>
      <c r="D275" s="18">
        <v>2556</v>
      </c>
      <c r="E275" s="220">
        <v>498.4</v>
      </c>
      <c r="F275" s="220"/>
      <c r="G275" s="17"/>
      <c r="H275" s="257"/>
      <c r="I275" s="214"/>
      <c r="J275" s="270"/>
      <c r="K275" s="17"/>
      <c r="L275" s="17"/>
      <c r="M275" s="19"/>
      <c r="N275" s="17"/>
      <c r="O275" s="212"/>
    </row>
    <row r="276" spans="2:18" ht="15.75" customHeight="1">
      <c r="B276" s="234" t="s">
        <v>16</v>
      </c>
      <c r="C276" s="17"/>
      <c r="D276" s="18"/>
      <c r="E276" s="213"/>
      <c r="F276" s="220"/>
      <c r="G276" s="17">
        <v>45919</v>
      </c>
      <c r="H276" s="262">
        <v>356</v>
      </c>
      <c r="I276" s="20" t="s">
        <v>185</v>
      </c>
      <c r="J276" s="256">
        <v>356</v>
      </c>
      <c r="K276" s="17" t="s">
        <v>17</v>
      </c>
      <c r="L276" s="17">
        <v>45964</v>
      </c>
      <c r="M276" s="19"/>
      <c r="N276" s="17"/>
      <c r="O276" s="212"/>
    </row>
    <row r="277" spans="2:18" ht="15.75" customHeight="1">
      <c r="B277" s="125" t="s">
        <v>26</v>
      </c>
      <c r="C277" s="13"/>
      <c r="D277" s="13"/>
      <c r="E277" s="13"/>
      <c r="F277" s="13"/>
      <c r="G277" s="92"/>
      <c r="H277" s="251"/>
      <c r="I277" s="13"/>
      <c r="J277" s="269"/>
      <c r="K277" s="92"/>
      <c r="L277" s="13"/>
      <c r="M277" s="96"/>
      <c r="N277" s="13"/>
      <c r="O277" s="27">
        <f>SUM(E275:F276)-SUM(H275:H276)</f>
        <v>142.39999999999998</v>
      </c>
    </row>
    <row r="280" spans="2:18" ht="26.25" customHeight="1">
      <c r="B280" s="331" t="s">
        <v>186</v>
      </c>
      <c r="C280" s="331"/>
      <c r="D280" s="10"/>
      <c r="E280" s="3"/>
      <c r="F280" s="3"/>
      <c r="G280" s="90"/>
      <c r="H280" s="247"/>
      <c r="I280" s="3"/>
      <c r="J280" s="247"/>
      <c r="K280" s="90"/>
      <c r="L280" s="3"/>
      <c r="M280" s="95"/>
      <c r="N280" s="3"/>
      <c r="O280" s="2"/>
    </row>
    <row r="281" spans="2:18" ht="31.5" customHeight="1">
      <c r="B281" s="104" t="s">
        <v>1</v>
      </c>
      <c r="C281" s="22" t="s">
        <v>2</v>
      </c>
      <c r="D281" s="23" t="s">
        <v>3</v>
      </c>
      <c r="E281" s="22" t="s">
        <v>4</v>
      </c>
      <c r="F281" s="22" t="s">
        <v>5</v>
      </c>
      <c r="G281" s="99" t="s">
        <v>6</v>
      </c>
      <c r="H281" s="248" t="s">
        <v>7</v>
      </c>
      <c r="I281" s="12" t="s">
        <v>8</v>
      </c>
      <c r="J281" s="268" t="s">
        <v>9</v>
      </c>
      <c r="K281" s="91" t="s">
        <v>10</v>
      </c>
      <c r="L281" s="12" t="s">
        <v>11</v>
      </c>
      <c r="M281" s="97" t="s">
        <v>76</v>
      </c>
      <c r="N281" s="24" t="s">
        <v>11</v>
      </c>
      <c r="O281" s="5" t="s">
        <v>12</v>
      </c>
      <c r="Q281" s="26" t="s">
        <v>13</v>
      </c>
      <c r="R281" s="26" t="s">
        <v>14</v>
      </c>
    </row>
    <row r="282" spans="2:18" ht="15.75" customHeight="1">
      <c r="B282" s="211" t="s">
        <v>186</v>
      </c>
      <c r="C282" s="17"/>
      <c r="D282" s="18"/>
      <c r="E282" s="220">
        <v>4349.4799999999996</v>
      </c>
      <c r="F282" s="220"/>
      <c r="G282" s="17"/>
      <c r="H282" s="257"/>
      <c r="I282" s="214"/>
      <c r="J282" s="270"/>
      <c r="K282" s="17"/>
      <c r="L282" s="17"/>
      <c r="M282" s="19"/>
      <c r="N282" s="17"/>
      <c r="O282" s="212"/>
      <c r="Q282" t="s">
        <v>87</v>
      </c>
    </row>
    <row r="283" spans="2:18" ht="15.75" customHeight="1">
      <c r="B283" s="234" t="s">
        <v>16</v>
      </c>
      <c r="C283" s="17"/>
      <c r="D283" s="18"/>
      <c r="E283" s="213"/>
      <c r="F283" s="220"/>
      <c r="G283" s="17">
        <v>45929</v>
      </c>
      <c r="H283" s="262">
        <v>1692</v>
      </c>
      <c r="I283" t="s">
        <v>187</v>
      </c>
      <c r="J283" s="262">
        <v>1692</v>
      </c>
      <c r="K283" s="17" t="s">
        <v>17</v>
      </c>
      <c r="L283" s="17">
        <v>45967</v>
      </c>
      <c r="M283" s="19"/>
      <c r="N283" s="17"/>
      <c r="O283" s="212"/>
      <c r="Q283" t="s">
        <v>188</v>
      </c>
    </row>
    <row r="284" spans="2:18" ht="15.75" customHeight="1">
      <c r="B284" s="234" t="s">
        <v>189</v>
      </c>
      <c r="C284" s="227"/>
      <c r="D284" s="228"/>
      <c r="E284" s="229"/>
      <c r="F284" s="220"/>
      <c r="G284" s="17">
        <v>45929</v>
      </c>
      <c r="H284" s="262">
        <v>168.6</v>
      </c>
      <c r="I284" t="s">
        <v>190</v>
      </c>
      <c r="J284" s="256">
        <v>168.6</v>
      </c>
      <c r="K284" s="227" t="s">
        <v>17</v>
      </c>
      <c r="L284" s="227">
        <v>45943</v>
      </c>
      <c r="M284" s="230"/>
      <c r="N284" s="227"/>
      <c r="O284" s="231"/>
      <c r="Q284" t="s">
        <v>188</v>
      </c>
    </row>
    <row r="285" spans="2:18" ht="15.75" customHeight="1">
      <c r="B285" s="234" t="s">
        <v>19</v>
      </c>
      <c r="C285" s="227"/>
      <c r="D285" s="228"/>
      <c r="E285" s="229"/>
      <c r="F285" s="220"/>
      <c r="G285" s="17">
        <v>45929</v>
      </c>
      <c r="H285" s="262">
        <v>802</v>
      </c>
      <c r="I285" t="s">
        <v>191</v>
      </c>
      <c r="J285" s="262">
        <v>802</v>
      </c>
      <c r="K285" s="227" t="s">
        <v>17</v>
      </c>
      <c r="L285" s="227">
        <v>45943</v>
      </c>
      <c r="M285" s="230"/>
      <c r="N285" s="227"/>
      <c r="O285" s="231"/>
      <c r="Q285" t="s">
        <v>188</v>
      </c>
    </row>
    <row r="286" spans="2:18" ht="15.75" customHeight="1">
      <c r="B286" s="234" t="s">
        <v>192</v>
      </c>
      <c r="C286" s="227"/>
      <c r="D286" s="228"/>
      <c r="E286" s="229"/>
      <c r="F286" s="220"/>
      <c r="G286" s="227">
        <v>45975</v>
      </c>
      <c r="H286" s="262">
        <v>565</v>
      </c>
      <c r="I286" t="s">
        <v>193</v>
      </c>
      <c r="J286" s="262">
        <v>565</v>
      </c>
      <c r="K286" s="227" t="s">
        <v>17</v>
      </c>
      <c r="L286" s="227">
        <v>45978</v>
      </c>
      <c r="M286" s="230"/>
      <c r="N286" s="227"/>
      <c r="O286" s="231"/>
    </row>
    <row r="287" spans="2:18" ht="15.75" customHeight="1">
      <c r="B287" s="125" t="s">
        <v>26</v>
      </c>
      <c r="C287" s="13"/>
      <c r="D287" s="13"/>
      <c r="E287" s="13"/>
      <c r="F287" s="13"/>
      <c r="G287" s="92"/>
      <c r="H287" s="251"/>
      <c r="I287" s="13"/>
      <c r="J287" s="269"/>
      <c r="K287" s="92"/>
      <c r="L287" s="13"/>
      <c r="M287" s="96"/>
      <c r="N287" s="13"/>
      <c r="O287" s="27">
        <f>SUM(E282:F286)-SUM(H282:H286)</f>
        <v>1121.8799999999997</v>
      </c>
    </row>
    <row r="290" spans="2:18" ht="27.75" customHeight="1">
      <c r="B290" s="332" t="s">
        <v>194</v>
      </c>
      <c r="C290" s="332"/>
      <c r="D290" s="10"/>
      <c r="E290" s="3"/>
      <c r="F290" s="3"/>
      <c r="G290" s="90"/>
      <c r="H290" s="247"/>
      <c r="I290" s="3"/>
      <c r="J290" s="247"/>
      <c r="K290" s="90"/>
      <c r="L290" s="3"/>
      <c r="M290" s="95"/>
      <c r="N290" s="3"/>
      <c r="O290" s="2"/>
    </row>
    <row r="291" spans="2:18" ht="28.5" customHeight="1">
      <c r="B291" s="104" t="s">
        <v>1</v>
      </c>
      <c r="C291" s="22" t="s">
        <v>2</v>
      </c>
      <c r="D291" s="23" t="s">
        <v>3</v>
      </c>
      <c r="E291" s="22" t="s">
        <v>4</v>
      </c>
      <c r="F291" s="22" t="s">
        <v>5</v>
      </c>
      <c r="G291" s="99" t="s">
        <v>6</v>
      </c>
      <c r="H291" s="248" t="s">
        <v>7</v>
      </c>
      <c r="I291" s="12" t="s">
        <v>8</v>
      </c>
      <c r="J291" s="268" t="s">
        <v>9</v>
      </c>
      <c r="K291" s="91" t="s">
        <v>10</v>
      </c>
      <c r="L291" s="12" t="s">
        <v>11</v>
      </c>
      <c r="M291" s="97" t="s">
        <v>76</v>
      </c>
      <c r="N291" s="24" t="s">
        <v>11</v>
      </c>
      <c r="O291" s="5" t="s">
        <v>12</v>
      </c>
      <c r="Q291" s="26" t="s">
        <v>13</v>
      </c>
      <c r="R291" s="26" t="s">
        <v>14</v>
      </c>
    </row>
    <row r="292" spans="2:18" ht="15.75" customHeight="1">
      <c r="B292" s="108" t="s">
        <v>195</v>
      </c>
      <c r="C292" s="17">
        <v>46041</v>
      </c>
      <c r="D292" s="18">
        <v>2664</v>
      </c>
      <c r="E292" s="214">
        <v>701.47</v>
      </c>
      <c r="F292" s="220"/>
      <c r="G292" s="17"/>
      <c r="H292" s="257"/>
      <c r="I292" s="214"/>
      <c r="J292" s="270"/>
      <c r="K292" s="17"/>
      <c r="L292" s="17"/>
      <c r="M292" s="19"/>
      <c r="N292" s="17"/>
      <c r="O292" s="212"/>
      <c r="Q292" t="s">
        <v>196</v>
      </c>
    </row>
    <row r="293" spans="2:18" ht="15.75" customHeight="1">
      <c r="B293" s="108" t="s">
        <v>195</v>
      </c>
      <c r="C293" s="227">
        <v>46042</v>
      </c>
      <c r="D293" s="228">
        <v>2666</v>
      </c>
      <c r="E293" s="235">
        <v>140.28</v>
      </c>
      <c r="F293" s="220"/>
      <c r="G293" s="227"/>
      <c r="H293" s="263"/>
      <c r="I293" s="235"/>
      <c r="J293" s="272"/>
      <c r="K293" s="227"/>
      <c r="L293" s="227"/>
      <c r="M293" s="230"/>
      <c r="N293" s="227"/>
      <c r="O293" s="231"/>
    </row>
    <row r="294" spans="2:18" ht="15.75" customHeight="1">
      <c r="B294" s="125" t="s">
        <v>26</v>
      </c>
      <c r="C294" s="13"/>
      <c r="D294" s="13"/>
      <c r="E294" s="13"/>
      <c r="F294" s="13"/>
      <c r="G294" s="92"/>
      <c r="H294" s="251"/>
      <c r="I294" s="13"/>
      <c r="J294" s="269"/>
      <c r="K294" s="92"/>
      <c r="L294" s="13"/>
      <c r="M294" s="96"/>
      <c r="N294" s="13"/>
      <c r="O294" s="27">
        <f>SUM(E292:F293)-SUM(H292:H293)</f>
        <v>841.75</v>
      </c>
      <c r="Q294" t="s">
        <v>197</v>
      </c>
    </row>
    <row r="297" spans="2:18" ht="29.25" customHeight="1">
      <c r="B297" s="331" t="s">
        <v>198</v>
      </c>
      <c r="C297" s="331"/>
      <c r="D297" s="10"/>
      <c r="E297" s="3"/>
      <c r="F297" s="3"/>
      <c r="G297" s="90"/>
      <c r="H297" s="247"/>
      <c r="I297" s="3"/>
      <c r="J297" s="247"/>
      <c r="K297" s="90"/>
      <c r="L297" s="3"/>
      <c r="M297" s="95"/>
      <c r="N297" s="3"/>
      <c r="O297" s="2"/>
    </row>
    <row r="298" spans="2:18" ht="27" customHeight="1">
      <c r="B298" s="104" t="s">
        <v>1</v>
      </c>
      <c r="C298" s="22" t="s">
        <v>2</v>
      </c>
      <c r="D298" s="23" t="s">
        <v>3</v>
      </c>
      <c r="E298" s="22" t="s">
        <v>4</v>
      </c>
      <c r="F298" s="22" t="s">
        <v>5</v>
      </c>
      <c r="G298" s="99" t="s">
        <v>6</v>
      </c>
      <c r="H298" s="248" t="s">
        <v>7</v>
      </c>
      <c r="I298" s="12" t="s">
        <v>8</v>
      </c>
      <c r="J298" s="268" t="s">
        <v>9</v>
      </c>
      <c r="K298" s="91" t="s">
        <v>10</v>
      </c>
      <c r="L298" s="12" t="s">
        <v>11</v>
      </c>
      <c r="M298" s="97" t="s">
        <v>76</v>
      </c>
      <c r="N298" s="24" t="s">
        <v>11</v>
      </c>
      <c r="O298" s="5" t="s">
        <v>12</v>
      </c>
      <c r="Q298" s="26" t="s">
        <v>13</v>
      </c>
      <c r="R298" s="26" t="s">
        <v>14</v>
      </c>
    </row>
    <row r="299" spans="2:18" ht="15.75" customHeight="1">
      <c r="B299" s="211" t="s">
        <v>199</v>
      </c>
      <c r="C299" s="17">
        <v>45932</v>
      </c>
      <c r="D299" s="18">
        <v>2550</v>
      </c>
      <c r="E299" s="213">
        <v>15259.05</v>
      </c>
      <c r="F299" s="220"/>
      <c r="G299" s="17"/>
      <c r="H299" s="257"/>
      <c r="I299" s="214"/>
      <c r="J299" s="270"/>
      <c r="K299" s="17"/>
      <c r="L299" s="17"/>
      <c r="M299" s="19" t="s">
        <v>32</v>
      </c>
      <c r="N299" s="17">
        <v>45933</v>
      </c>
      <c r="O299" s="212"/>
    </row>
    <row r="300" spans="2:18" ht="15.75" customHeight="1">
      <c r="B300" s="234" t="s">
        <v>199</v>
      </c>
      <c r="C300" s="17">
        <v>45993</v>
      </c>
      <c r="D300" s="18">
        <v>2559</v>
      </c>
      <c r="E300" s="213">
        <v>15259.05</v>
      </c>
      <c r="F300" s="220"/>
      <c r="G300" s="17"/>
      <c r="H300" s="262"/>
      <c r="K300" s="17"/>
      <c r="L300" s="17"/>
      <c r="M300" s="19" t="s">
        <v>32</v>
      </c>
      <c r="N300" s="17">
        <v>46001</v>
      </c>
      <c r="O300" s="212"/>
    </row>
    <row r="301" spans="2:18" ht="15.75" customHeight="1">
      <c r="B301" s="234" t="s">
        <v>16</v>
      </c>
      <c r="C301" s="227"/>
      <c r="D301" s="228"/>
      <c r="E301" s="229"/>
      <c r="F301" s="220"/>
      <c r="G301" s="17">
        <v>45933</v>
      </c>
      <c r="H301" s="264">
        <v>4980</v>
      </c>
      <c r="I301" s="240" t="s">
        <v>200</v>
      </c>
      <c r="J301" s="262">
        <v>4980</v>
      </c>
      <c r="K301" s="227" t="s">
        <v>17</v>
      </c>
      <c r="L301" s="227">
        <v>45978</v>
      </c>
      <c r="M301" s="230"/>
      <c r="N301" s="227"/>
      <c r="O301" s="231"/>
    </row>
    <row r="302" spans="2:18" ht="15.75" customHeight="1">
      <c r="B302" s="234" t="s">
        <v>201</v>
      </c>
      <c r="C302" s="227"/>
      <c r="D302" s="228"/>
      <c r="E302" s="229"/>
      <c r="F302" s="220"/>
      <c r="G302" s="17"/>
      <c r="H302" s="264">
        <v>9579.23</v>
      </c>
      <c r="I302" s="240" t="s">
        <v>202</v>
      </c>
      <c r="J302" s="256">
        <v>9579.23</v>
      </c>
      <c r="K302" s="227" t="s">
        <v>17</v>
      </c>
      <c r="L302" s="227">
        <v>45986</v>
      </c>
      <c r="M302" s="230"/>
      <c r="N302" s="227"/>
      <c r="O302" s="231"/>
    </row>
    <row r="303" spans="2:18" ht="15.75" customHeight="1">
      <c r="B303" s="234" t="s">
        <v>168</v>
      </c>
      <c r="C303" s="227"/>
      <c r="D303" s="228"/>
      <c r="E303" s="229"/>
      <c r="F303" s="220"/>
      <c r="G303" s="17">
        <v>45933</v>
      </c>
      <c r="H303" s="264">
        <v>3853.06</v>
      </c>
      <c r="I303" s="240">
        <v>44006903</v>
      </c>
      <c r="J303" s="262">
        <v>3853.06</v>
      </c>
      <c r="K303" s="227" t="s">
        <v>32</v>
      </c>
      <c r="L303" s="227">
        <v>45938</v>
      </c>
      <c r="M303" s="230"/>
      <c r="N303" s="227"/>
      <c r="O303" s="231"/>
    </row>
    <row r="304" spans="2:18" ht="15.75" customHeight="1">
      <c r="B304" s="234" t="s">
        <v>168</v>
      </c>
      <c r="C304" s="227"/>
      <c r="D304" s="228"/>
      <c r="E304" s="229"/>
      <c r="F304" s="220"/>
      <c r="G304" s="227">
        <v>45933</v>
      </c>
      <c r="H304" s="264">
        <v>3853.06</v>
      </c>
      <c r="I304" s="240">
        <v>4131712</v>
      </c>
      <c r="J304" s="262">
        <v>3853.07</v>
      </c>
      <c r="K304" s="227" t="s">
        <v>17</v>
      </c>
      <c r="L304" s="227">
        <v>45974</v>
      </c>
      <c r="M304" s="230"/>
      <c r="N304" s="227"/>
      <c r="O304" s="231"/>
    </row>
    <row r="305" spans="2:18" ht="15.75" customHeight="1">
      <c r="B305" s="234" t="s">
        <v>203</v>
      </c>
      <c r="C305" s="227"/>
      <c r="D305" s="228"/>
      <c r="E305" s="229"/>
      <c r="F305" s="220"/>
      <c r="G305" s="227"/>
      <c r="H305" s="264">
        <v>1240</v>
      </c>
      <c r="I305">
        <v>251202</v>
      </c>
      <c r="J305" s="256">
        <v>1240</v>
      </c>
      <c r="K305" s="227" t="s">
        <v>17</v>
      </c>
      <c r="L305" s="227">
        <v>45993</v>
      </c>
      <c r="M305" s="230"/>
      <c r="N305" s="227"/>
      <c r="O305" s="231"/>
    </row>
    <row r="306" spans="2:18" ht="15.75" customHeight="1">
      <c r="B306" s="234" t="s">
        <v>204</v>
      </c>
      <c r="C306" s="227"/>
      <c r="D306" s="228"/>
      <c r="E306" s="229"/>
      <c r="F306" s="220"/>
      <c r="G306" s="227"/>
      <c r="H306" s="264">
        <v>600</v>
      </c>
      <c r="I306">
        <v>20250312</v>
      </c>
      <c r="J306" s="256">
        <v>590.14</v>
      </c>
      <c r="K306" s="227" t="s">
        <v>17</v>
      </c>
      <c r="L306" s="227">
        <v>46002</v>
      </c>
      <c r="M306" s="230"/>
      <c r="N306" s="227"/>
      <c r="O306" s="231"/>
    </row>
    <row r="307" spans="2:18" ht="15.75" customHeight="1">
      <c r="B307" s="125" t="s">
        <v>26</v>
      </c>
      <c r="C307" s="13"/>
      <c r="D307" s="13"/>
      <c r="E307" s="13"/>
      <c r="F307" s="13"/>
      <c r="G307" s="92"/>
      <c r="H307" s="251"/>
      <c r="I307" s="13"/>
      <c r="J307" s="269"/>
      <c r="K307" s="92"/>
      <c r="L307" s="13"/>
      <c r="M307" s="96"/>
      <c r="N307" s="13"/>
      <c r="O307" s="27">
        <f>SUM(E299:F306)-SUM(H299:H306)</f>
        <v>6412.7499999999964</v>
      </c>
    </row>
    <row r="310" spans="2:18" ht="26.25" customHeight="1">
      <c r="B310" s="331" t="s">
        <v>205</v>
      </c>
      <c r="C310" s="331"/>
      <c r="D310" s="10"/>
      <c r="E310" s="3"/>
      <c r="F310" s="3"/>
      <c r="G310" s="90"/>
      <c r="H310" s="247"/>
      <c r="I310" s="3"/>
      <c r="J310" s="247"/>
      <c r="K310" s="90"/>
      <c r="L310" s="3"/>
      <c r="M310" s="95"/>
      <c r="N310" s="3"/>
      <c r="O310" s="2"/>
    </row>
    <row r="311" spans="2:18" ht="28.5" customHeight="1">
      <c r="B311" s="104" t="s">
        <v>1</v>
      </c>
      <c r="C311" s="22" t="s">
        <v>2</v>
      </c>
      <c r="D311" s="23" t="s">
        <v>3</v>
      </c>
      <c r="E311" s="22" t="s">
        <v>4</v>
      </c>
      <c r="F311" s="22" t="s">
        <v>5</v>
      </c>
      <c r="G311" s="99" t="s">
        <v>6</v>
      </c>
      <c r="H311" s="248" t="s">
        <v>7</v>
      </c>
      <c r="I311" s="12" t="s">
        <v>8</v>
      </c>
      <c r="J311" s="268" t="s">
        <v>9</v>
      </c>
      <c r="K311" s="91" t="s">
        <v>10</v>
      </c>
      <c r="L311" s="12" t="s">
        <v>11</v>
      </c>
      <c r="M311" s="97" t="s">
        <v>76</v>
      </c>
      <c r="N311" s="24" t="s">
        <v>11</v>
      </c>
      <c r="O311" s="5" t="s">
        <v>12</v>
      </c>
      <c r="Q311" s="26" t="s">
        <v>13</v>
      </c>
      <c r="R311" s="26" t="s">
        <v>14</v>
      </c>
    </row>
    <row r="312" spans="2:18" ht="15.75" customHeight="1">
      <c r="B312" s="211" t="s">
        <v>205</v>
      </c>
      <c r="C312" s="17">
        <v>45954</v>
      </c>
      <c r="D312" s="18">
        <v>2552</v>
      </c>
      <c r="E312" s="213">
        <v>252</v>
      </c>
      <c r="F312" s="220"/>
      <c r="G312" s="17"/>
      <c r="H312" s="257"/>
      <c r="I312" s="214"/>
      <c r="J312" s="270"/>
      <c r="K312" s="17"/>
      <c r="L312" s="17"/>
      <c r="M312" s="213">
        <v>252</v>
      </c>
      <c r="N312" s="17">
        <v>45960</v>
      </c>
      <c r="O312" s="212"/>
      <c r="Q312" t="s">
        <v>206</v>
      </c>
    </row>
    <row r="313" spans="2:18" ht="15.75" customHeight="1">
      <c r="B313" s="239" t="s">
        <v>207</v>
      </c>
      <c r="C313" s="227"/>
      <c r="D313" s="228"/>
      <c r="E313" s="229"/>
      <c r="F313" s="220"/>
      <c r="G313" s="227">
        <v>45954</v>
      </c>
      <c r="H313" s="263">
        <v>198</v>
      </c>
      <c r="I313" s="235" t="s">
        <v>208</v>
      </c>
      <c r="J313" s="263">
        <v>198</v>
      </c>
      <c r="K313" s="227" t="s">
        <v>17</v>
      </c>
      <c r="L313" s="227">
        <v>45988</v>
      </c>
      <c r="M313" s="230"/>
      <c r="N313" s="227"/>
      <c r="O313" s="231"/>
    </row>
    <row r="314" spans="2:18" ht="15.75" customHeight="1">
      <c r="B314" s="125" t="s">
        <v>26</v>
      </c>
      <c r="C314" s="13"/>
      <c r="D314" s="13"/>
      <c r="E314" s="13"/>
      <c r="F314" s="13"/>
      <c r="G314" s="92"/>
      <c r="H314" s="251"/>
      <c r="I314" s="13"/>
      <c r="J314" s="269"/>
      <c r="K314" s="92"/>
      <c r="L314" s="13"/>
      <c r="M314" s="96"/>
      <c r="N314" s="13"/>
      <c r="O314" s="27">
        <f>SUM(E312:F312)-SUM(H312:H313)</f>
        <v>54</v>
      </c>
    </row>
    <row r="317" spans="2:18" ht="29.25" customHeight="1">
      <c r="B317" s="331" t="s">
        <v>209</v>
      </c>
      <c r="C317" s="331"/>
      <c r="D317" s="10"/>
      <c r="E317" s="3"/>
      <c r="F317" s="3"/>
      <c r="G317" s="90"/>
      <c r="H317" s="247"/>
      <c r="I317" s="3"/>
      <c r="J317" s="247"/>
      <c r="K317" s="90"/>
      <c r="L317" s="3"/>
      <c r="M317" s="95"/>
      <c r="N317" s="3"/>
      <c r="O317" s="2"/>
    </row>
    <row r="318" spans="2:18" ht="27" customHeight="1">
      <c r="B318" s="104" t="s">
        <v>1</v>
      </c>
      <c r="C318" s="22" t="s">
        <v>2</v>
      </c>
      <c r="D318" s="23" t="s">
        <v>3</v>
      </c>
      <c r="E318" s="22" t="s">
        <v>4</v>
      </c>
      <c r="F318" s="22" t="s">
        <v>5</v>
      </c>
      <c r="G318" s="99" t="s">
        <v>6</v>
      </c>
      <c r="H318" s="248" t="s">
        <v>7</v>
      </c>
      <c r="I318" s="12" t="s">
        <v>8</v>
      </c>
      <c r="J318" s="268" t="s">
        <v>9</v>
      </c>
      <c r="K318" s="91" t="s">
        <v>10</v>
      </c>
      <c r="L318" s="12" t="s">
        <v>11</v>
      </c>
      <c r="M318" s="97" t="s">
        <v>76</v>
      </c>
      <c r="N318" s="24" t="s">
        <v>11</v>
      </c>
      <c r="O318" s="5" t="s">
        <v>12</v>
      </c>
      <c r="Q318" s="26" t="s">
        <v>13</v>
      </c>
      <c r="R318" s="26" t="s">
        <v>14</v>
      </c>
    </row>
    <row r="319" spans="2:18" ht="15.75" customHeight="1">
      <c r="B319" s="211" t="s">
        <v>184</v>
      </c>
      <c r="C319" s="17">
        <v>45973</v>
      </c>
      <c r="D319" s="18">
        <v>2557</v>
      </c>
      <c r="E319" s="220">
        <v>869.16</v>
      </c>
      <c r="F319" s="220"/>
      <c r="G319" s="17"/>
      <c r="H319" s="257"/>
      <c r="I319" s="214"/>
      <c r="J319" s="270"/>
      <c r="K319" s="17"/>
      <c r="L319" s="17"/>
      <c r="M319" s="19"/>
      <c r="N319" s="17"/>
      <c r="O319" s="212"/>
    </row>
    <row r="320" spans="2:18" ht="15.75" customHeight="1">
      <c r="B320" s="234" t="s">
        <v>61</v>
      </c>
      <c r="C320" s="17"/>
      <c r="D320" s="18"/>
      <c r="E320" s="213"/>
      <c r="F320" s="220"/>
      <c r="G320" s="17">
        <v>45996</v>
      </c>
      <c r="H320" s="262">
        <v>930.55</v>
      </c>
      <c r="I320" s="20">
        <v>50402</v>
      </c>
      <c r="J320" s="262">
        <v>930.55</v>
      </c>
      <c r="K320" s="17" t="s">
        <v>17</v>
      </c>
      <c r="L320" s="17">
        <v>45979</v>
      </c>
      <c r="M320" s="19"/>
      <c r="N320" s="17"/>
      <c r="O320" s="212"/>
    </row>
    <row r="321" spans="2:18" ht="15.75" customHeight="1">
      <c r="B321" s="125" t="s">
        <v>26</v>
      </c>
      <c r="C321" s="13"/>
      <c r="D321" s="13"/>
      <c r="E321" s="13"/>
      <c r="F321" s="13"/>
      <c r="G321" s="92"/>
      <c r="H321" s="251"/>
      <c r="I321" s="13"/>
      <c r="J321" s="269"/>
      <c r="K321" s="92"/>
      <c r="L321" s="13"/>
      <c r="M321" s="96"/>
      <c r="N321" s="13"/>
      <c r="O321" s="27">
        <f>SUM(E319:F320)-SUM(H319:H320)</f>
        <v>-61.389999999999986</v>
      </c>
    </row>
    <row r="324" spans="2:18" ht="54" customHeight="1">
      <c r="B324" s="331" t="s">
        <v>210</v>
      </c>
      <c r="C324" s="331"/>
      <c r="D324" s="10"/>
      <c r="E324" s="3"/>
      <c r="F324" s="3"/>
      <c r="G324" s="90"/>
      <c r="H324" s="247"/>
      <c r="I324" s="3"/>
      <c r="J324" s="247"/>
      <c r="K324" s="90"/>
      <c r="L324" s="3"/>
      <c r="M324" s="95"/>
      <c r="N324" s="3"/>
      <c r="O324" s="2"/>
    </row>
    <row r="325" spans="2:18" ht="27.75" customHeight="1">
      <c r="B325" s="104" t="s">
        <v>1</v>
      </c>
      <c r="C325" s="22" t="s">
        <v>2</v>
      </c>
      <c r="D325" s="23" t="s">
        <v>3</v>
      </c>
      <c r="E325" s="22" t="s">
        <v>4</v>
      </c>
      <c r="F325" s="22" t="s">
        <v>5</v>
      </c>
      <c r="G325" s="99" t="s">
        <v>6</v>
      </c>
      <c r="H325" s="248" t="s">
        <v>7</v>
      </c>
      <c r="I325" s="12" t="s">
        <v>8</v>
      </c>
      <c r="J325" s="268" t="s">
        <v>9</v>
      </c>
      <c r="K325" s="91" t="s">
        <v>10</v>
      </c>
      <c r="L325" s="12" t="s">
        <v>11</v>
      </c>
      <c r="M325" s="97" t="s">
        <v>76</v>
      </c>
      <c r="N325" s="24" t="s">
        <v>11</v>
      </c>
      <c r="O325" s="5" t="s">
        <v>12</v>
      </c>
      <c r="Q325" s="26" t="s">
        <v>13</v>
      </c>
      <c r="R325" s="26" t="s">
        <v>14</v>
      </c>
    </row>
    <row r="326" spans="2:18" ht="15.75" customHeight="1">
      <c r="B326" s="211" t="s">
        <v>210</v>
      </c>
      <c r="C326" s="17">
        <v>45966</v>
      </c>
      <c r="D326" s="18">
        <v>2554</v>
      </c>
      <c r="E326" s="212">
        <v>14050.48</v>
      </c>
      <c r="F326" s="212"/>
      <c r="G326" s="17"/>
      <c r="H326" s="257"/>
      <c r="I326" s="214"/>
      <c r="J326" s="270"/>
      <c r="K326" s="17"/>
      <c r="L326" s="17"/>
      <c r="M326" s="19" t="s">
        <v>32</v>
      </c>
      <c r="N326" s="17">
        <v>45973</v>
      </c>
      <c r="O326" s="212"/>
    </row>
    <row r="327" spans="2:18" ht="15.75" customHeight="1">
      <c r="B327" s="211" t="s">
        <v>210</v>
      </c>
      <c r="C327" s="17">
        <v>46013</v>
      </c>
      <c r="D327" s="18">
        <v>2561</v>
      </c>
      <c r="E327" s="212">
        <v>14050.48</v>
      </c>
      <c r="F327" s="212"/>
      <c r="G327" s="17"/>
      <c r="H327" s="257"/>
      <c r="I327" s="214"/>
      <c r="J327" s="270"/>
      <c r="K327" s="17"/>
      <c r="L327" s="17"/>
      <c r="M327" s="19" t="s">
        <v>32</v>
      </c>
      <c r="N327" s="17">
        <v>46029</v>
      </c>
      <c r="O327" s="212"/>
    </row>
    <row r="328" spans="2:18" ht="15.75" customHeight="1">
      <c r="B328" s="211" t="s">
        <v>16</v>
      </c>
      <c r="C328" s="17"/>
      <c r="D328" s="18"/>
      <c r="E328" s="213"/>
      <c r="F328" s="212"/>
      <c r="G328" s="17"/>
      <c r="H328" s="257">
        <v>12692</v>
      </c>
      <c r="I328" t="s">
        <v>211</v>
      </c>
      <c r="J328" s="256">
        <v>12692</v>
      </c>
      <c r="K328" s="17" t="s">
        <v>17</v>
      </c>
      <c r="L328" s="17">
        <v>46000</v>
      </c>
      <c r="M328" s="19"/>
      <c r="N328" s="17"/>
      <c r="O328" s="212"/>
    </row>
    <row r="329" spans="2:18" ht="15.75" customHeight="1">
      <c r="B329" s="211" t="s">
        <v>141</v>
      </c>
      <c r="C329" s="215"/>
      <c r="D329" s="216"/>
      <c r="E329" s="217"/>
      <c r="F329" s="217"/>
      <c r="G329" s="17"/>
      <c r="H329" s="258">
        <v>4356</v>
      </c>
      <c r="I329" t="s">
        <v>212</v>
      </c>
      <c r="J329" s="258">
        <v>4356</v>
      </c>
      <c r="K329" s="17" t="s">
        <v>17</v>
      </c>
      <c r="L329" s="17">
        <v>46008</v>
      </c>
      <c r="M329" s="19"/>
      <c r="N329" s="17"/>
      <c r="O329" s="217"/>
      <c r="P329" s="79"/>
      <c r="Q329" s="79"/>
      <c r="R329" s="79"/>
    </row>
    <row r="330" spans="2:18" ht="15.75" customHeight="1">
      <c r="B330" s="211" t="s">
        <v>24</v>
      </c>
      <c r="C330" s="215"/>
      <c r="D330" s="216"/>
      <c r="E330" s="217"/>
      <c r="F330" s="217"/>
      <c r="G330" s="17"/>
      <c r="H330" s="258">
        <v>1999</v>
      </c>
      <c r="I330" s="222">
        <v>251214</v>
      </c>
      <c r="J330" s="258">
        <v>1999</v>
      </c>
      <c r="K330" s="215" t="s">
        <v>17</v>
      </c>
      <c r="L330" s="215">
        <v>46014</v>
      </c>
      <c r="M330" s="218"/>
      <c r="N330" s="215"/>
      <c r="O330" s="217"/>
      <c r="P330" s="79"/>
      <c r="Q330" s="79"/>
      <c r="R330" s="79"/>
    </row>
    <row r="331" spans="2:18" ht="15.75" customHeight="1">
      <c r="B331" s="125" t="s">
        <v>26</v>
      </c>
      <c r="C331" s="13"/>
      <c r="D331" s="13"/>
      <c r="E331" s="13"/>
      <c r="F331" s="13"/>
      <c r="G331" s="92"/>
      <c r="H331" s="251"/>
      <c r="I331" s="13"/>
      <c r="J331" s="269"/>
      <c r="K331" s="92"/>
      <c r="L331" s="13"/>
      <c r="M331" s="96"/>
      <c r="N331" s="13"/>
      <c r="O331" s="27">
        <f>SUM(E326:F330)-SUM(H326:H330)</f>
        <v>9053.9599999999991</v>
      </c>
    </row>
    <row r="334" spans="2:18" ht="24" customHeight="1">
      <c r="B334" s="331" t="s">
        <v>213</v>
      </c>
      <c r="C334" s="331"/>
      <c r="D334" s="10"/>
      <c r="E334" s="3"/>
      <c r="F334" s="3"/>
      <c r="G334" s="90"/>
      <c r="H334" s="247"/>
      <c r="I334" s="3"/>
      <c r="J334" s="247"/>
      <c r="K334" s="90"/>
      <c r="L334" s="3"/>
      <c r="M334" s="95"/>
      <c r="N334" s="3"/>
      <c r="O334" s="2"/>
    </row>
    <row r="335" spans="2:18" ht="24.75" customHeight="1">
      <c r="B335" s="104" t="s">
        <v>1</v>
      </c>
      <c r="C335" s="22" t="s">
        <v>2</v>
      </c>
      <c r="D335" s="23" t="s">
        <v>3</v>
      </c>
      <c r="E335" s="22" t="s">
        <v>4</v>
      </c>
      <c r="F335" s="22" t="s">
        <v>5</v>
      </c>
      <c r="G335" s="99" t="s">
        <v>6</v>
      </c>
      <c r="H335" s="248" t="s">
        <v>7</v>
      </c>
      <c r="I335" s="12" t="s">
        <v>8</v>
      </c>
      <c r="J335" s="268" t="s">
        <v>9</v>
      </c>
      <c r="K335" s="91" t="s">
        <v>10</v>
      </c>
      <c r="L335" s="12" t="s">
        <v>11</v>
      </c>
      <c r="M335" s="97" t="s">
        <v>76</v>
      </c>
      <c r="N335" s="24" t="s">
        <v>11</v>
      </c>
      <c r="O335" s="5" t="s">
        <v>12</v>
      </c>
      <c r="Q335" s="26" t="s">
        <v>13</v>
      </c>
      <c r="R335" s="26" t="s">
        <v>14</v>
      </c>
    </row>
    <row r="336" spans="2:18" ht="15.75" customHeight="1">
      <c r="B336" s="211" t="s">
        <v>179</v>
      </c>
      <c r="C336" s="17">
        <v>46013</v>
      </c>
      <c r="D336" s="18">
        <v>2562</v>
      </c>
      <c r="E336" s="220">
        <v>390.9</v>
      </c>
      <c r="F336" s="212"/>
      <c r="G336" s="17"/>
      <c r="H336" s="257"/>
      <c r="I336" s="214"/>
      <c r="J336" s="270"/>
      <c r="K336" s="17"/>
      <c r="L336" s="17"/>
      <c r="M336" s="19" t="s">
        <v>63</v>
      </c>
      <c r="N336" s="17">
        <v>46041</v>
      </c>
      <c r="O336" s="212"/>
      <c r="Q336" t="s">
        <v>87</v>
      </c>
    </row>
    <row r="337" spans="2:18" ht="15.75" customHeight="1">
      <c r="B337" s="234" t="s">
        <v>16</v>
      </c>
      <c r="C337" s="17"/>
      <c r="D337" s="18"/>
      <c r="E337" s="213"/>
      <c r="F337" s="220"/>
      <c r="G337" s="17"/>
      <c r="H337" s="262">
        <v>264</v>
      </c>
      <c r="I337" t="s">
        <v>211</v>
      </c>
      <c r="J337" s="262">
        <v>264</v>
      </c>
      <c r="K337" s="17" t="s">
        <v>17</v>
      </c>
      <c r="L337" s="17">
        <v>46000</v>
      </c>
      <c r="M337" s="19"/>
      <c r="N337" s="17"/>
      <c r="O337" s="212"/>
    </row>
    <row r="338" spans="2:18" ht="15.75" customHeight="1">
      <c r="B338" s="125" t="s">
        <v>26</v>
      </c>
      <c r="C338" s="13"/>
      <c r="D338" s="13"/>
      <c r="E338" s="13"/>
      <c r="F338" s="13"/>
      <c r="G338" s="92"/>
      <c r="H338" s="251"/>
      <c r="I338" s="13"/>
      <c r="J338" s="269"/>
      <c r="K338" s="92"/>
      <c r="L338" s="13"/>
      <c r="M338" s="96"/>
      <c r="N338" s="13"/>
      <c r="O338" s="27">
        <f>SUM(E336:F337)-SUM(H336:H337)</f>
        <v>126.89999999999998</v>
      </c>
    </row>
    <row r="341" spans="2:18" ht="26.25" customHeight="1">
      <c r="B341" s="331" t="s">
        <v>214</v>
      </c>
      <c r="C341" s="331"/>
      <c r="D341" s="10"/>
      <c r="E341" s="3"/>
      <c r="F341" s="3"/>
      <c r="G341" s="90"/>
      <c r="H341" s="247"/>
      <c r="I341" s="3"/>
      <c r="J341" s="247"/>
      <c r="K341" s="90"/>
      <c r="L341" s="3"/>
      <c r="M341" s="95"/>
      <c r="N341" s="3"/>
      <c r="O341" s="2"/>
    </row>
    <row r="342" spans="2:18" ht="29.25" customHeight="1">
      <c r="B342" s="104" t="s">
        <v>1</v>
      </c>
      <c r="C342" s="22" t="s">
        <v>2</v>
      </c>
      <c r="D342" s="23" t="s">
        <v>3</v>
      </c>
      <c r="E342" s="22" t="s">
        <v>4</v>
      </c>
      <c r="F342" s="22" t="s">
        <v>5</v>
      </c>
      <c r="G342" s="99" t="s">
        <v>6</v>
      </c>
      <c r="H342" s="248" t="s">
        <v>7</v>
      </c>
      <c r="I342" s="12" t="s">
        <v>8</v>
      </c>
      <c r="J342" s="268" t="s">
        <v>9</v>
      </c>
      <c r="K342" s="91" t="s">
        <v>10</v>
      </c>
      <c r="L342" s="12" t="s">
        <v>11</v>
      </c>
      <c r="M342" s="97" t="s">
        <v>76</v>
      </c>
      <c r="N342" s="24" t="s">
        <v>11</v>
      </c>
      <c r="O342" s="5" t="s">
        <v>12</v>
      </c>
      <c r="Q342" s="26" t="s">
        <v>13</v>
      </c>
      <c r="R342" s="26" t="s">
        <v>14</v>
      </c>
    </row>
    <row r="343" spans="2:18" ht="15.75" customHeight="1">
      <c r="B343" s="211" t="s">
        <v>214</v>
      </c>
      <c r="C343" s="17">
        <v>46013</v>
      </c>
      <c r="D343" s="18">
        <v>2560</v>
      </c>
      <c r="E343" s="220">
        <v>574.33000000000004</v>
      </c>
      <c r="F343" s="220"/>
      <c r="G343" s="17"/>
      <c r="H343" s="257"/>
      <c r="I343" s="214"/>
      <c r="J343" s="270"/>
      <c r="K343" s="17"/>
      <c r="L343" s="17"/>
      <c r="M343" s="19" t="s">
        <v>32</v>
      </c>
      <c r="N343" s="17">
        <v>46013</v>
      </c>
      <c r="O343" s="212"/>
      <c r="Q343" t="s">
        <v>87</v>
      </c>
    </row>
    <row r="344" spans="2:18" ht="15.75" customHeight="1">
      <c r="B344" s="211" t="s">
        <v>146</v>
      </c>
      <c r="C344" s="215"/>
      <c r="D344" s="216"/>
      <c r="E344" s="217"/>
      <c r="F344" s="217"/>
      <c r="G344" s="17">
        <v>45986</v>
      </c>
      <c r="H344" s="258">
        <v>203</v>
      </c>
      <c r="I344" t="s">
        <v>215</v>
      </c>
      <c r="J344" s="271">
        <v>203</v>
      </c>
      <c r="K344" s="17" t="s">
        <v>17</v>
      </c>
      <c r="L344" s="17">
        <v>45989</v>
      </c>
      <c r="M344" s="19"/>
      <c r="N344" s="17"/>
      <c r="O344" s="217"/>
      <c r="P344" s="79"/>
      <c r="Q344" s="79" t="s">
        <v>149</v>
      </c>
      <c r="R344" s="79"/>
    </row>
    <row r="345" spans="2:18" ht="15.75" customHeight="1">
      <c r="B345" s="211" t="s">
        <v>24</v>
      </c>
      <c r="C345" s="215"/>
      <c r="D345" s="216"/>
      <c r="E345" s="217"/>
      <c r="F345" s="217"/>
      <c r="G345" s="17"/>
      <c r="H345" s="258">
        <v>160</v>
      </c>
      <c r="I345" s="222">
        <v>251214</v>
      </c>
      <c r="J345" s="258">
        <v>160</v>
      </c>
      <c r="K345" s="215" t="s">
        <v>17</v>
      </c>
      <c r="L345" s="215">
        <v>46014</v>
      </c>
      <c r="M345" s="218"/>
      <c r="N345" s="215"/>
      <c r="O345" s="217"/>
      <c r="P345" s="79"/>
      <c r="Q345" s="79"/>
      <c r="R345" s="79"/>
    </row>
    <row r="346" spans="2:18" ht="15.75" customHeight="1">
      <c r="B346" s="125" t="s">
        <v>26</v>
      </c>
      <c r="C346" s="13"/>
      <c r="D346" s="13"/>
      <c r="E346" s="13"/>
      <c r="F346" s="13"/>
      <c r="G346" s="92"/>
      <c r="H346" s="251"/>
      <c r="I346" s="13"/>
      <c r="J346" s="269"/>
      <c r="K346" s="92"/>
      <c r="L346" s="13"/>
      <c r="M346" s="96"/>
      <c r="N346" s="13"/>
      <c r="O346" s="27">
        <f>SUM(E343:F345)-SUM(H343:H345)</f>
        <v>211.33000000000004</v>
      </c>
    </row>
    <row r="349" spans="2:18" ht="46.5" customHeight="1">
      <c r="B349" s="332" t="s">
        <v>216</v>
      </c>
      <c r="C349" s="332"/>
      <c r="D349" s="10"/>
      <c r="E349" s="3"/>
      <c r="F349" s="3"/>
      <c r="G349" s="90"/>
      <c r="H349" s="247"/>
      <c r="I349" s="3"/>
      <c r="J349" s="247"/>
      <c r="K349" s="90"/>
      <c r="L349" s="3"/>
      <c r="M349" s="95"/>
      <c r="N349" s="3"/>
      <c r="O349" s="2"/>
    </row>
    <row r="350" spans="2:18" ht="30.75" customHeight="1">
      <c r="B350" s="104" t="s">
        <v>1</v>
      </c>
      <c r="C350" s="22" t="s">
        <v>2</v>
      </c>
      <c r="D350" s="23" t="s">
        <v>3</v>
      </c>
      <c r="E350" s="22" t="s">
        <v>4</v>
      </c>
      <c r="F350" s="22" t="s">
        <v>5</v>
      </c>
      <c r="G350" s="99" t="s">
        <v>6</v>
      </c>
      <c r="H350" s="248" t="s">
        <v>7</v>
      </c>
      <c r="I350" s="12" t="s">
        <v>8</v>
      </c>
      <c r="J350" s="268" t="s">
        <v>9</v>
      </c>
      <c r="K350" s="91" t="s">
        <v>10</v>
      </c>
      <c r="L350" s="12" t="s">
        <v>11</v>
      </c>
      <c r="M350" s="97" t="s">
        <v>76</v>
      </c>
      <c r="N350" s="24" t="s">
        <v>11</v>
      </c>
      <c r="O350" s="5" t="s">
        <v>12</v>
      </c>
      <c r="Q350" s="26" t="s">
        <v>13</v>
      </c>
      <c r="R350" s="26" t="s">
        <v>14</v>
      </c>
    </row>
    <row r="351" spans="2:18" ht="15.75" customHeight="1">
      <c r="B351" s="211" t="s">
        <v>217</v>
      </c>
      <c r="C351" s="17">
        <v>46042</v>
      </c>
      <c r="D351" s="18">
        <v>2665</v>
      </c>
      <c r="E351" s="220">
        <v>3768.87</v>
      </c>
      <c r="F351" s="220"/>
      <c r="G351" s="17"/>
      <c r="H351" s="257"/>
      <c r="I351" s="214"/>
      <c r="J351" s="270"/>
      <c r="K351" s="17"/>
      <c r="L351" s="17"/>
      <c r="M351" s="220">
        <v>3768.87</v>
      </c>
      <c r="N351" s="17">
        <v>46050</v>
      </c>
      <c r="O351" s="212"/>
      <c r="Q351" t="s">
        <v>14</v>
      </c>
    </row>
    <row r="352" spans="2:18" ht="15.75" customHeight="1">
      <c r="B352" s="108" t="s">
        <v>217</v>
      </c>
      <c r="C352" s="17">
        <v>46099</v>
      </c>
      <c r="D352" s="18">
        <v>2671</v>
      </c>
      <c r="E352" s="220">
        <v>3768.87</v>
      </c>
      <c r="F352" s="220"/>
      <c r="G352" s="17"/>
      <c r="H352" s="257"/>
      <c r="I352" s="235"/>
      <c r="J352" s="270"/>
      <c r="K352" s="17"/>
      <c r="L352" s="17"/>
      <c r="M352" s="19"/>
      <c r="N352" s="17"/>
      <c r="O352" s="212"/>
    </row>
    <row r="353" spans="2:18" ht="15.75" customHeight="1">
      <c r="B353" s="211" t="s">
        <v>218</v>
      </c>
      <c r="C353" s="215"/>
      <c r="D353" s="216"/>
      <c r="E353" s="217"/>
      <c r="F353" s="217"/>
      <c r="G353" s="17">
        <v>46051</v>
      </c>
      <c r="H353" s="258">
        <v>2805.6</v>
      </c>
      <c r="I353" t="s">
        <v>219</v>
      </c>
      <c r="J353" s="258">
        <v>2805.6</v>
      </c>
      <c r="K353" s="17" t="s">
        <v>17</v>
      </c>
      <c r="L353" s="17">
        <v>46051</v>
      </c>
      <c r="M353" s="19"/>
      <c r="N353" s="17"/>
      <c r="O353" s="217"/>
      <c r="P353" s="79"/>
      <c r="Q353" s="79"/>
      <c r="R353" s="79"/>
    </row>
    <row r="354" spans="2:18" ht="15.75" customHeight="1">
      <c r="B354" s="239" t="s">
        <v>220</v>
      </c>
      <c r="C354" s="241"/>
      <c r="D354" s="242"/>
      <c r="E354" s="243"/>
      <c r="F354" s="243"/>
      <c r="G354" s="227">
        <v>46051</v>
      </c>
      <c r="H354" s="265">
        <v>2065.65</v>
      </c>
      <c r="I354" t="s">
        <v>221</v>
      </c>
      <c r="J354" s="265">
        <v>2065.65</v>
      </c>
      <c r="K354" s="227" t="s">
        <v>17</v>
      </c>
      <c r="L354" s="227">
        <v>46052</v>
      </c>
      <c r="M354" s="230"/>
      <c r="N354" s="227"/>
      <c r="O354" s="243"/>
      <c r="P354" s="79"/>
      <c r="Q354" s="79"/>
      <c r="R354" s="79"/>
    </row>
    <row r="355" spans="2:18" ht="15.75" customHeight="1">
      <c r="B355" s="239" t="s">
        <v>19</v>
      </c>
      <c r="C355" s="241"/>
      <c r="D355" s="242"/>
      <c r="E355" s="243"/>
      <c r="F355" s="243"/>
      <c r="G355" s="227">
        <v>46051</v>
      </c>
      <c r="H355" s="265">
        <v>133.19999999999999</v>
      </c>
      <c r="I355" t="s">
        <v>222</v>
      </c>
      <c r="J355" s="265">
        <v>133.19999999999999</v>
      </c>
      <c r="K355" s="227" t="s">
        <v>17</v>
      </c>
      <c r="L355" s="227">
        <v>46052</v>
      </c>
      <c r="M355" s="230"/>
      <c r="N355" s="227"/>
      <c r="O355" s="243"/>
      <c r="P355" s="79"/>
      <c r="Q355" s="79"/>
      <c r="R355" s="79"/>
    </row>
    <row r="356" spans="2:18" ht="15.75" customHeight="1">
      <c r="B356" s="125" t="s">
        <v>26</v>
      </c>
      <c r="C356" s="13"/>
      <c r="D356" s="13"/>
      <c r="E356" s="13"/>
      <c r="F356" s="13"/>
      <c r="G356" s="92"/>
      <c r="H356" s="251"/>
      <c r="I356" s="13"/>
      <c r="J356" s="269"/>
      <c r="K356" s="92"/>
      <c r="L356" s="13"/>
      <c r="M356" s="96"/>
      <c r="N356" s="13"/>
      <c r="O356" s="27">
        <f>SUM(E351:F353)-SUM(H351:H355)</f>
        <v>2533.29</v>
      </c>
    </row>
    <row r="359" spans="2:18" ht="28.5" customHeight="1">
      <c r="B359" s="331" t="s">
        <v>223</v>
      </c>
      <c r="C359" s="331"/>
      <c r="D359" s="10"/>
      <c r="E359" s="3"/>
      <c r="F359" s="3"/>
      <c r="G359" s="90"/>
      <c r="H359" s="247"/>
      <c r="I359" s="3"/>
      <c r="J359" s="247"/>
      <c r="K359" s="90"/>
      <c r="L359" s="3"/>
      <c r="M359" s="95"/>
      <c r="N359" s="3"/>
      <c r="O359" s="2"/>
    </row>
    <row r="360" spans="2:18" ht="27.75" customHeight="1">
      <c r="B360" s="104" t="s">
        <v>1</v>
      </c>
      <c r="C360" s="22" t="s">
        <v>2</v>
      </c>
      <c r="D360" s="23" t="s">
        <v>3</v>
      </c>
      <c r="E360" s="22" t="s">
        <v>4</v>
      </c>
      <c r="F360" s="22" t="s">
        <v>5</v>
      </c>
      <c r="G360" s="99" t="s">
        <v>6</v>
      </c>
      <c r="H360" s="248" t="s">
        <v>7</v>
      </c>
      <c r="I360" s="12" t="s">
        <v>8</v>
      </c>
      <c r="J360" s="268" t="s">
        <v>9</v>
      </c>
      <c r="K360" s="91" t="s">
        <v>10</v>
      </c>
      <c r="L360" s="12" t="s">
        <v>11</v>
      </c>
      <c r="M360" s="97" t="s">
        <v>76</v>
      </c>
      <c r="N360" s="24" t="s">
        <v>11</v>
      </c>
      <c r="O360" s="5" t="s">
        <v>12</v>
      </c>
      <c r="Q360" s="26" t="s">
        <v>13</v>
      </c>
      <c r="R360" s="26" t="s">
        <v>14</v>
      </c>
    </row>
    <row r="361" spans="2:18" ht="15.75" customHeight="1">
      <c r="B361" s="211" t="s">
        <v>223</v>
      </c>
      <c r="C361" s="17">
        <v>46036</v>
      </c>
      <c r="D361" s="18">
        <v>2663</v>
      </c>
      <c r="E361" s="213">
        <v>261.64</v>
      </c>
      <c r="F361" s="220"/>
      <c r="G361" s="17"/>
      <c r="H361" s="257"/>
      <c r="I361" s="214"/>
      <c r="J361" s="270"/>
      <c r="K361" s="17"/>
      <c r="L361" s="17"/>
      <c r="M361" s="19" t="s">
        <v>32</v>
      </c>
      <c r="N361" s="17">
        <v>46041</v>
      </c>
      <c r="O361" s="212"/>
    </row>
    <row r="362" spans="2:18" ht="15.75" customHeight="1">
      <c r="B362" s="234" t="s">
        <v>173</v>
      </c>
      <c r="C362" s="17"/>
      <c r="D362" s="18"/>
      <c r="E362" s="213"/>
      <c r="F362" s="220"/>
      <c r="G362" s="17">
        <v>46041</v>
      </c>
      <c r="H362" s="256">
        <v>201.4</v>
      </c>
      <c r="I362" t="s">
        <v>224</v>
      </c>
      <c r="J362" s="256">
        <v>201.4</v>
      </c>
      <c r="K362" s="17" t="s">
        <v>17</v>
      </c>
      <c r="L362" s="17">
        <v>45310</v>
      </c>
      <c r="M362" s="19"/>
      <c r="N362" s="17"/>
      <c r="O362" s="212"/>
    </row>
    <row r="363" spans="2:18" ht="15.75" customHeight="1">
      <c r="B363" s="125" t="s">
        <v>26</v>
      </c>
      <c r="C363" s="13"/>
      <c r="D363" s="13"/>
      <c r="E363" s="13"/>
      <c r="F363" s="13"/>
      <c r="G363" s="92"/>
      <c r="H363" s="251"/>
      <c r="I363" s="13"/>
      <c r="J363" s="269"/>
      <c r="K363" s="92"/>
      <c r="L363" s="13"/>
      <c r="M363" s="96"/>
      <c r="N363" s="13"/>
      <c r="O363" s="27">
        <f>SUM(E361:F362)-SUM(H361:H362)</f>
        <v>60.239999999999981</v>
      </c>
    </row>
    <row r="366" spans="2:18" ht="30.75" customHeight="1">
      <c r="B366" s="332" t="s">
        <v>225</v>
      </c>
      <c r="C366" s="332"/>
      <c r="D366" s="10"/>
      <c r="E366" s="3"/>
      <c r="F366" s="3"/>
      <c r="G366" s="90"/>
      <c r="H366" s="247"/>
      <c r="I366" s="3"/>
      <c r="J366" s="247"/>
      <c r="K366" s="90"/>
      <c r="L366" s="3"/>
      <c r="M366" s="95"/>
      <c r="N366" s="3"/>
      <c r="O366" s="2"/>
    </row>
    <row r="367" spans="2:18" ht="31.5" customHeight="1">
      <c r="B367" s="104" t="s">
        <v>1</v>
      </c>
      <c r="C367" s="22" t="s">
        <v>2</v>
      </c>
      <c r="D367" s="23" t="s">
        <v>3</v>
      </c>
      <c r="E367" s="22" t="s">
        <v>4</v>
      </c>
      <c r="F367" s="22" t="s">
        <v>5</v>
      </c>
      <c r="G367" s="99" t="s">
        <v>6</v>
      </c>
      <c r="H367" s="248" t="s">
        <v>7</v>
      </c>
      <c r="I367" s="12" t="s">
        <v>8</v>
      </c>
      <c r="J367" s="268" t="s">
        <v>9</v>
      </c>
      <c r="K367" s="91" t="s">
        <v>10</v>
      </c>
      <c r="L367" s="12" t="s">
        <v>11</v>
      </c>
      <c r="M367" s="97" t="s">
        <v>76</v>
      </c>
      <c r="N367" s="24" t="s">
        <v>11</v>
      </c>
      <c r="O367" s="5" t="s">
        <v>12</v>
      </c>
      <c r="Q367" s="26" t="s">
        <v>13</v>
      </c>
      <c r="R367" s="26" t="s">
        <v>14</v>
      </c>
    </row>
    <row r="368" spans="2:18" ht="15.75" customHeight="1">
      <c r="B368" s="108" t="s">
        <v>225</v>
      </c>
      <c r="C368" s="17">
        <v>46030</v>
      </c>
      <c r="D368" s="18">
        <v>2667</v>
      </c>
      <c r="E368" s="213">
        <v>374</v>
      </c>
      <c r="F368" s="213">
        <v>374</v>
      </c>
      <c r="G368" s="17"/>
      <c r="H368" s="257"/>
      <c r="I368" s="214"/>
      <c r="J368" s="270"/>
      <c r="K368" s="17"/>
      <c r="L368" s="17"/>
      <c r="M368" s="19"/>
      <c r="N368" s="17"/>
      <c r="O368" s="212"/>
    </row>
    <row r="369" spans="2:18" ht="15.75" customHeight="1">
      <c r="B369" s="211" t="s">
        <v>226</v>
      </c>
      <c r="C369" s="17"/>
      <c r="D369" s="18"/>
      <c r="E369" s="213"/>
      <c r="F369" s="220"/>
      <c r="G369" s="244">
        <v>46036</v>
      </c>
      <c r="H369" s="256">
        <v>267.54000000000002</v>
      </c>
      <c r="I369" t="s">
        <v>227</v>
      </c>
      <c r="J369" s="256">
        <v>267.54000000000002</v>
      </c>
      <c r="K369" s="17" t="s">
        <v>17</v>
      </c>
      <c r="L369" s="17">
        <v>46052</v>
      </c>
      <c r="M369" s="19"/>
      <c r="N369" s="17"/>
      <c r="O369" s="212"/>
    </row>
    <row r="370" spans="2:18" ht="15.75" customHeight="1">
      <c r="B370" s="125" t="s">
        <v>26</v>
      </c>
      <c r="C370" s="13"/>
      <c r="D370" s="13"/>
      <c r="E370" s="13"/>
      <c r="F370" s="13"/>
      <c r="G370" s="92"/>
      <c r="H370" s="251"/>
      <c r="I370" s="13"/>
      <c r="J370" s="269"/>
      <c r="K370" s="92"/>
      <c r="L370" s="13"/>
      <c r="M370" s="96"/>
      <c r="N370" s="13"/>
      <c r="O370" s="27">
        <f>SUM(E368:F369)-SUM(H368:H369)</f>
        <v>480.46</v>
      </c>
    </row>
    <row r="373" spans="2:18" ht="27" customHeight="1">
      <c r="B373" s="332" t="s">
        <v>228</v>
      </c>
      <c r="C373" s="332"/>
      <c r="D373" s="10"/>
      <c r="E373" s="3"/>
      <c r="F373" s="3"/>
      <c r="G373" s="90"/>
      <c r="H373" s="247"/>
      <c r="I373" s="3"/>
      <c r="J373" s="247"/>
      <c r="K373" s="90"/>
      <c r="L373" s="3"/>
      <c r="M373" s="95"/>
      <c r="N373" s="3"/>
      <c r="O373" s="2"/>
    </row>
    <row r="374" spans="2:18" ht="26.25" customHeight="1">
      <c r="B374" s="104" t="s">
        <v>1</v>
      </c>
      <c r="C374" s="22" t="s">
        <v>2</v>
      </c>
      <c r="D374" s="23" t="s">
        <v>3</v>
      </c>
      <c r="E374" s="22" t="s">
        <v>4</v>
      </c>
      <c r="F374" s="22" t="s">
        <v>5</v>
      </c>
      <c r="G374" s="99" t="s">
        <v>6</v>
      </c>
      <c r="H374" s="248" t="s">
        <v>7</v>
      </c>
      <c r="I374" s="12" t="s">
        <v>8</v>
      </c>
      <c r="J374" s="268" t="s">
        <v>9</v>
      </c>
      <c r="K374" s="91" t="s">
        <v>10</v>
      </c>
      <c r="L374" s="12" t="s">
        <v>11</v>
      </c>
      <c r="M374" s="97" t="s">
        <v>76</v>
      </c>
      <c r="N374" s="24" t="s">
        <v>11</v>
      </c>
      <c r="O374" s="5" t="s">
        <v>12</v>
      </c>
      <c r="Q374" s="26" t="s">
        <v>13</v>
      </c>
      <c r="R374" s="26" t="s">
        <v>14</v>
      </c>
    </row>
    <row r="375" spans="2:18" ht="15.75" customHeight="1">
      <c r="B375" s="108" t="s">
        <v>217</v>
      </c>
      <c r="C375" s="17">
        <v>46069</v>
      </c>
      <c r="D375" s="18">
        <v>2668</v>
      </c>
      <c r="E375" s="220">
        <v>895.35</v>
      </c>
      <c r="F375" s="220"/>
      <c r="G375" s="17"/>
      <c r="H375" s="257"/>
      <c r="I375" s="214"/>
      <c r="J375" s="270"/>
      <c r="K375" s="17"/>
      <c r="L375" s="17"/>
      <c r="M375" s="19"/>
      <c r="N375" s="17"/>
      <c r="O375" s="212"/>
    </row>
    <row r="376" spans="2:18" ht="15.75" customHeight="1">
      <c r="B376" s="108" t="s">
        <v>217</v>
      </c>
      <c r="C376" s="17"/>
      <c r="D376" s="18"/>
      <c r="E376" s="220"/>
      <c r="F376" s="221">
        <v>895.35</v>
      </c>
      <c r="G376" s="17"/>
      <c r="H376" s="257"/>
      <c r="I376" s="235"/>
      <c r="J376" s="270"/>
      <c r="K376" s="17"/>
      <c r="L376" s="17"/>
      <c r="M376" s="19"/>
      <c r="N376" s="17"/>
      <c r="O376" s="212"/>
    </row>
    <row r="377" spans="2:18" ht="15.75" customHeight="1">
      <c r="B377" s="108" t="s">
        <v>229</v>
      </c>
      <c r="C377" s="215"/>
      <c r="D377" s="216"/>
      <c r="E377" s="217"/>
      <c r="F377" s="217"/>
      <c r="G377" s="17"/>
      <c r="H377" s="258">
        <v>1434.26</v>
      </c>
      <c r="J377" s="258"/>
      <c r="K377" s="17"/>
      <c r="L377" s="17"/>
      <c r="M377" s="19"/>
      <c r="N377" s="17"/>
      <c r="O377" s="217"/>
      <c r="P377" s="79"/>
      <c r="Q377" s="79"/>
      <c r="R377" s="79"/>
    </row>
    <row r="378" spans="2:18" ht="15.75" customHeight="1">
      <c r="B378" s="125" t="s">
        <v>26</v>
      </c>
      <c r="C378" s="13"/>
      <c r="D378" s="13"/>
      <c r="E378" s="13"/>
      <c r="F378" s="13"/>
      <c r="G378" s="92"/>
      <c r="H378" s="251"/>
      <c r="I378" s="13"/>
      <c r="J378" s="269"/>
      <c r="K378" s="92"/>
      <c r="L378" s="13"/>
      <c r="M378" s="96"/>
      <c r="N378" s="13"/>
      <c r="O378" s="27">
        <f>SUM(E375:F377)-SUM(H375:H377)</f>
        <v>356.44000000000005</v>
      </c>
    </row>
    <row r="381" spans="2:18" ht="27" customHeight="1">
      <c r="B381" s="332"/>
      <c r="C381" s="332"/>
      <c r="D381" s="10"/>
      <c r="E381" s="3"/>
      <c r="F381" s="3"/>
      <c r="G381" s="90"/>
      <c r="H381" s="247"/>
      <c r="I381" s="3"/>
      <c r="J381" s="247"/>
      <c r="K381" s="90"/>
      <c r="L381" s="3"/>
      <c r="M381" s="95"/>
      <c r="N381" s="3"/>
      <c r="O381" s="2"/>
    </row>
    <row r="382" spans="2:18" ht="27.75" customHeight="1">
      <c r="B382" s="104"/>
      <c r="C382" s="22"/>
      <c r="D382" s="23"/>
      <c r="E382" s="22"/>
      <c r="F382" s="22"/>
      <c r="G382" s="99"/>
      <c r="H382" s="248"/>
      <c r="I382" s="12"/>
      <c r="J382" s="268"/>
      <c r="K382" s="91"/>
      <c r="L382" s="12"/>
      <c r="M382" s="97"/>
      <c r="N382" s="24"/>
      <c r="O382" s="5"/>
      <c r="Q382" s="26"/>
      <c r="R382" s="26" t="s">
        <v>14</v>
      </c>
    </row>
    <row r="383" spans="2:18" ht="15.75" customHeight="1">
      <c r="B383" s="211"/>
      <c r="C383" s="17"/>
      <c r="D383" s="18"/>
      <c r="E383" s="220"/>
      <c r="F383" s="220"/>
      <c r="G383" s="17"/>
      <c r="H383" s="257"/>
      <c r="I383" s="214"/>
      <c r="J383" s="270"/>
      <c r="K383" s="17"/>
      <c r="L383" s="17"/>
      <c r="M383" s="220"/>
      <c r="N383" s="17"/>
      <c r="O383" s="212"/>
    </row>
    <row r="384" spans="2:18" ht="15.75" customHeight="1">
      <c r="B384" s="108"/>
      <c r="C384" s="17"/>
      <c r="D384" s="18"/>
      <c r="E384" s="220"/>
      <c r="F384" s="221"/>
      <c r="G384" s="17"/>
      <c r="H384" s="257"/>
      <c r="I384" s="235"/>
      <c r="J384" s="270"/>
      <c r="K384" s="17"/>
      <c r="L384" s="17"/>
      <c r="M384" s="19"/>
      <c r="N384" s="17"/>
      <c r="O384" s="212"/>
    </row>
    <row r="385" spans="2:18" ht="15.75" customHeight="1">
      <c r="B385" s="108"/>
      <c r="C385" s="17"/>
      <c r="D385" s="18"/>
      <c r="E385" s="220"/>
      <c r="F385" s="220"/>
      <c r="G385" s="17"/>
      <c r="H385" s="257"/>
      <c r="J385" s="257"/>
      <c r="K385" s="17"/>
      <c r="L385" s="17"/>
      <c r="M385" s="19"/>
      <c r="N385" s="17"/>
      <c r="O385" s="212"/>
    </row>
    <row r="386" spans="2:18" ht="15.75" customHeight="1">
      <c r="B386" s="108"/>
      <c r="C386" s="215"/>
      <c r="D386" s="216"/>
      <c r="E386" s="217"/>
      <c r="F386" s="217"/>
      <c r="G386" s="17"/>
      <c r="H386" s="258"/>
      <c r="J386" s="258"/>
      <c r="K386" s="17"/>
      <c r="L386" s="17"/>
      <c r="M386" s="19"/>
      <c r="N386" s="17"/>
      <c r="O386" s="217"/>
      <c r="P386" s="79"/>
      <c r="Q386" s="79"/>
      <c r="R386" s="79"/>
    </row>
    <row r="387" spans="2:18" ht="15.75" customHeight="1">
      <c r="B387" s="275"/>
      <c r="C387" s="241"/>
      <c r="D387" s="242"/>
      <c r="E387" s="243"/>
      <c r="F387" s="243"/>
      <c r="G387" s="227"/>
      <c r="H387" s="265"/>
      <c r="J387" s="276"/>
      <c r="K387" s="227"/>
      <c r="L387" s="227"/>
      <c r="M387" s="230"/>
      <c r="N387" s="227"/>
      <c r="O387" s="243"/>
      <c r="P387" s="79"/>
      <c r="Q387" s="79"/>
      <c r="R387" s="79"/>
    </row>
    <row r="388" spans="2:18" ht="15.75" customHeight="1">
      <c r="B388" s="125"/>
      <c r="C388" s="13"/>
      <c r="D388" s="13"/>
      <c r="E388" s="13"/>
      <c r="F388" s="13"/>
      <c r="G388" s="92"/>
      <c r="H388" s="251"/>
      <c r="I388" s="13"/>
      <c r="J388" s="269"/>
      <c r="K388" s="92"/>
      <c r="L388" s="13"/>
      <c r="M388" s="96"/>
      <c r="N388" s="13"/>
      <c r="O388" s="27"/>
    </row>
    <row r="391" spans="2:18" ht="15.75" customHeight="1">
      <c r="B391" s="332"/>
      <c r="C391" s="332"/>
      <c r="D391" s="10"/>
      <c r="E391" s="3"/>
      <c r="F391" s="3"/>
      <c r="G391" s="90"/>
      <c r="H391" s="247"/>
      <c r="I391" s="3"/>
      <c r="J391" s="247"/>
      <c r="K391" s="90"/>
      <c r="L391" s="3"/>
      <c r="M391" s="95"/>
      <c r="N391" s="3"/>
      <c r="O391" s="2"/>
    </row>
    <row r="392" spans="2:18" ht="31.5" customHeight="1">
      <c r="B392" s="104"/>
      <c r="C392" s="22"/>
      <c r="D392" s="23"/>
      <c r="E392" s="22"/>
      <c r="F392" s="22"/>
      <c r="G392" s="99"/>
      <c r="H392" s="248"/>
      <c r="I392" s="12"/>
      <c r="J392" s="268"/>
      <c r="K392" s="91"/>
      <c r="L392" s="12"/>
      <c r="M392" s="97"/>
      <c r="N392" s="24"/>
      <c r="O392" s="5"/>
      <c r="Q392" s="26"/>
      <c r="R392" s="26"/>
    </row>
    <row r="393" spans="2:18" ht="15.75" customHeight="1">
      <c r="B393" s="211"/>
      <c r="C393" s="17"/>
      <c r="D393" s="18"/>
      <c r="E393" s="220"/>
      <c r="F393" s="220"/>
      <c r="G393" s="17"/>
      <c r="H393" s="257"/>
      <c r="I393" s="214"/>
      <c r="J393" s="270"/>
      <c r="K393" s="17"/>
      <c r="L393" s="17"/>
      <c r="M393" s="220"/>
      <c r="N393" s="17"/>
      <c r="O393" s="212"/>
    </row>
    <row r="394" spans="2:18" ht="15.75" customHeight="1">
      <c r="B394" s="108"/>
      <c r="C394" s="17"/>
      <c r="D394" s="18"/>
      <c r="E394" s="220"/>
      <c r="F394" s="221"/>
      <c r="G394" s="17"/>
      <c r="H394" s="257"/>
      <c r="I394" s="235"/>
      <c r="J394" s="270"/>
      <c r="K394" s="17"/>
      <c r="L394" s="17"/>
      <c r="M394" s="19"/>
      <c r="N394" s="17"/>
      <c r="O394" s="212"/>
    </row>
    <row r="395" spans="2:18" ht="15.75" customHeight="1">
      <c r="B395" s="108"/>
      <c r="C395" s="17"/>
      <c r="D395" s="18"/>
      <c r="E395" s="220"/>
      <c r="F395" s="220"/>
      <c r="G395" s="17"/>
      <c r="H395" s="257"/>
      <c r="I395" s="235"/>
      <c r="J395" s="270"/>
      <c r="K395" s="17"/>
      <c r="L395" s="17"/>
      <c r="M395" s="19"/>
      <c r="N395" s="17"/>
      <c r="O395" s="212"/>
    </row>
    <row r="396" spans="2:18" ht="15.75" customHeight="1">
      <c r="B396" s="108"/>
      <c r="C396" s="215"/>
      <c r="D396" s="216"/>
      <c r="E396" s="217"/>
      <c r="F396" s="217"/>
      <c r="G396" s="17"/>
      <c r="H396" s="258"/>
      <c r="J396" s="258"/>
      <c r="K396" s="17"/>
      <c r="L396" s="17"/>
      <c r="M396" s="19"/>
      <c r="N396" s="17"/>
      <c r="O396" s="217"/>
      <c r="P396" s="79"/>
      <c r="Q396" s="79"/>
      <c r="R396" s="79"/>
    </row>
    <row r="397" spans="2:18" ht="15.75" customHeight="1">
      <c r="B397" s="275"/>
      <c r="C397" s="241"/>
      <c r="D397" s="242"/>
      <c r="E397" s="243"/>
      <c r="F397" s="243"/>
      <c r="G397" s="227"/>
      <c r="H397" s="265"/>
      <c r="J397" s="276"/>
      <c r="K397" s="227"/>
      <c r="L397" s="227"/>
      <c r="M397" s="230"/>
      <c r="N397" s="227"/>
      <c r="O397" s="243"/>
      <c r="P397" s="79"/>
      <c r="Q397" s="79"/>
      <c r="R397" s="79"/>
    </row>
    <row r="398" spans="2:18" ht="15.75" customHeight="1">
      <c r="B398" s="125"/>
      <c r="C398" s="13"/>
      <c r="D398" s="13"/>
      <c r="E398" s="13"/>
      <c r="F398" s="13"/>
      <c r="G398" s="92"/>
      <c r="H398" s="251"/>
      <c r="I398" s="13"/>
      <c r="J398" s="269"/>
      <c r="K398" s="92"/>
      <c r="L398" s="13"/>
      <c r="M398" s="96"/>
      <c r="N398" s="13"/>
      <c r="O398" s="27"/>
    </row>
    <row r="404" spans="1:18" s="192" customFormat="1" ht="4.5" customHeight="1">
      <c r="B404" s="193"/>
      <c r="G404" s="194"/>
      <c r="H404" s="266"/>
      <c r="J404" s="266"/>
      <c r="K404" s="194"/>
      <c r="M404" s="195"/>
    </row>
    <row r="405" spans="1:18" ht="15.75" customHeight="1">
      <c r="A405" s="339" t="s">
        <v>230</v>
      </c>
      <c r="B405" s="339"/>
      <c r="C405" s="339"/>
    </row>
    <row r="406" spans="1:18" ht="24.95">
      <c r="E406" s="110" t="s">
        <v>4</v>
      </c>
      <c r="F406" s="110" t="s">
        <v>5</v>
      </c>
      <c r="G406" s="326" t="s">
        <v>7</v>
      </c>
      <c r="H406" s="327"/>
      <c r="I406" s="328" t="s">
        <v>231</v>
      </c>
      <c r="J406" s="329"/>
      <c r="K406" s="329"/>
      <c r="L406" s="330"/>
      <c r="M406" s="333" t="s">
        <v>232</v>
      </c>
      <c r="N406" s="334"/>
      <c r="O406" s="5" t="s">
        <v>12</v>
      </c>
    </row>
    <row r="407" spans="1:18" ht="27.75" customHeight="1" thickBot="1">
      <c r="E407" s="111">
        <f>SUM(E2:E406)</f>
        <v>249993.48</v>
      </c>
      <c r="F407" s="179">
        <f>SUM(F2:F406)</f>
        <v>60642.09</v>
      </c>
      <c r="G407" s="335">
        <f>SUM(H2:H406)</f>
        <v>224369.95000000004</v>
      </c>
      <c r="H407" s="338"/>
      <c r="I407" s="335">
        <f>SUM(J2:J406)</f>
        <v>148598.15000000002</v>
      </c>
      <c r="J407" s="337"/>
      <c r="K407" s="337"/>
      <c r="L407" s="338"/>
      <c r="M407" s="335">
        <f>SUM(M2:M406)</f>
        <v>63821.59</v>
      </c>
      <c r="N407" s="336"/>
      <c r="O407" s="187"/>
    </row>
    <row r="408" spans="1:18" ht="15.75" customHeight="1" thickTop="1" thickBot="1">
      <c r="E408" s="180" t="s">
        <v>233</v>
      </c>
      <c r="F408" s="181">
        <f>SUM(E407:F407)</f>
        <v>310635.57</v>
      </c>
      <c r="G408" s="182" t="s">
        <v>234</v>
      </c>
      <c r="H408" s="267">
        <f>G407</f>
        <v>224369.95000000004</v>
      </c>
      <c r="I408" s="203"/>
      <c r="J408" s="273" t="s">
        <v>234</v>
      </c>
      <c r="K408" s="183"/>
      <c r="L408" s="184">
        <f>I407</f>
        <v>148598.15000000002</v>
      </c>
      <c r="M408" s="185" t="s">
        <v>234</v>
      </c>
      <c r="N408" s="186">
        <f>M407</f>
        <v>63821.59</v>
      </c>
      <c r="O408" s="185">
        <f>SUM(O2:O407)</f>
        <v>86265.62</v>
      </c>
    </row>
    <row r="409" spans="1:18" ht="15.75" customHeight="1" thickTop="1">
      <c r="J409" s="274"/>
    </row>
    <row r="410" spans="1:18" ht="15.75" customHeight="1">
      <c r="J410" s="274"/>
    </row>
    <row r="411" spans="1:18" ht="15.75" customHeight="1">
      <c r="J411" s="274"/>
    </row>
    <row r="412" spans="1:18" ht="15.75" customHeight="1">
      <c r="C412" s="94"/>
    </row>
    <row r="413" spans="1:18" ht="27.75" customHeight="1">
      <c r="B413" s="332" t="s">
        <v>235</v>
      </c>
      <c r="C413" s="332"/>
      <c r="D413" s="10"/>
      <c r="E413" s="3"/>
      <c r="F413" s="3"/>
      <c r="G413" s="90"/>
      <c r="H413" s="247"/>
      <c r="I413" s="3"/>
      <c r="J413" s="247"/>
      <c r="K413" s="90"/>
      <c r="L413" s="3"/>
      <c r="M413" s="95"/>
      <c r="N413" s="3"/>
      <c r="O413" s="2"/>
    </row>
    <row r="414" spans="1:18" ht="31.5" customHeight="1">
      <c r="B414" s="104" t="s">
        <v>1</v>
      </c>
      <c r="C414" s="22" t="s">
        <v>2</v>
      </c>
      <c r="D414" s="23" t="s">
        <v>3</v>
      </c>
      <c r="E414" s="22" t="s">
        <v>4</v>
      </c>
      <c r="F414" s="22" t="s">
        <v>5</v>
      </c>
      <c r="G414" s="99" t="s">
        <v>6</v>
      </c>
      <c r="H414" s="248" t="s">
        <v>7</v>
      </c>
      <c r="I414" s="12" t="s">
        <v>8</v>
      </c>
      <c r="J414" s="268" t="s">
        <v>9</v>
      </c>
      <c r="K414" s="91" t="s">
        <v>10</v>
      </c>
      <c r="L414" s="12" t="s">
        <v>11</v>
      </c>
      <c r="M414" s="97" t="s">
        <v>76</v>
      </c>
      <c r="N414" s="24" t="s">
        <v>11</v>
      </c>
      <c r="O414" s="5" t="s">
        <v>12</v>
      </c>
      <c r="Q414" s="26" t="s">
        <v>13</v>
      </c>
      <c r="R414" s="26" t="s">
        <v>14</v>
      </c>
    </row>
    <row r="415" spans="1:18" ht="15.75" customHeight="1">
      <c r="B415" s="108" t="s">
        <v>235</v>
      </c>
      <c r="C415" s="4"/>
      <c r="D415" s="11"/>
      <c r="E415" s="122"/>
      <c r="F415" s="8"/>
      <c r="G415" s="4"/>
      <c r="H415" s="249"/>
      <c r="I415" s="197"/>
      <c r="J415" s="254"/>
      <c r="K415" s="4"/>
      <c r="L415" s="4"/>
      <c r="M415" s="15"/>
      <c r="N415" s="4"/>
      <c r="O415" s="8"/>
    </row>
    <row r="416" spans="1:18" ht="15.75" customHeight="1">
      <c r="B416" s="106" t="s">
        <v>236</v>
      </c>
      <c r="C416" s="80"/>
      <c r="D416" s="81"/>
      <c r="E416" s="82"/>
      <c r="F416" s="82"/>
      <c r="G416" s="4"/>
      <c r="H416" s="250"/>
      <c r="I416" s="202"/>
      <c r="J416" s="254"/>
      <c r="K416" s="4"/>
      <c r="L416" s="4"/>
      <c r="M416" s="15"/>
      <c r="N416" s="4"/>
      <c r="O416" s="82"/>
      <c r="P416" s="79"/>
      <c r="Q416" s="79"/>
      <c r="R416" s="79"/>
    </row>
    <row r="417" spans="2:18" ht="15.75" customHeight="1">
      <c r="B417" s="106" t="s">
        <v>236</v>
      </c>
      <c r="C417" s="80"/>
      <c r="D417" s="81"/>
      <c r="E417" s="82"/>
      <c r="F417" s="82"/>
      <c r="G417" s="4"/>
      <c r="H417" s="250"/>
      <c r="I417" s="202"/>
      <c r="J417" s="250"/>
      <c r="K417" s="80"/>
      <c r="L417" s="80"/>
      <c r="M417" s="98"/>
      <c r="N417" s="80"/>
      <c r="O417" s="82"/>
      <c r="P417" s="79"/>
      <c r="Q417" s="79"/>
      <c r="R417" s="79"/>
    </row>
    <row r="418" spans="2:18" ht="15.75" customHeight="1">
      <c r="B418" s="125" t="s">
        <v>26</v>
      </c>
      <c r="C418" s="13"/>
      <c r="D418" s="13"/>
      <c r="E418" s="13"/>
      <c r="F418" s="13"/>
      <c r="G418" s="92"/>
      <c r="H418" s="251"/>
      <c r="I418" s="13"/>
      <c r="J418" s="269"/>
      <c r="K418" s="92"/>
      <c r="L418" s="13"/>
      <c r="M418" s="96"/>
      <c r="N418" s="13"/>
      <c r="O418" s="27">
        <f>SUM(E415:F417)-SUM(H415:H417)</f>
        <v>0</v>
      </c>
    </row>
    <row r="419" spans="2:18" ht="15.75" customHeight="1">
      <c r="C419" s="87"/>
    </row>
    <row r="421" spans="2:18" ht="15.75" customHeight="1">
      <c r="C421" s="88"/>
    </row>
  </sheetData>
  <mergeCells count="33">
    <mergeCell ref="M406:N406"/>
    <mergeCell ref="M407:N407"/>
    <mergeCell ref="I407:L407"/>
    <mergeCell ref="G407:H407"/>
    <mergeCell ref="B310:C310"/>
    <mergeCell ref="A405:C405"/>
    <mergeCell ref="B317:C317"/>
    <mergeCell ref="B341:C341"/>
    <mergeCell ref="B349:C349"/>
    <mergeCell ref="B359:C359"/>
    <mergeCell ref="B366:C366"/>
    <mergeCell ref="B373:C373"/>
    <mergeCell ref="B324:C324"/>
    <mergeCell ref="B391:C391"/>
    <mergeCell ref="B413:C413"/>
    <mergeCell ref="B290:C290"/>
    <mergeCell ref="B297:C297"/>
    <mergeCell ref="B334:C334"/>
    <mergeCell ref="B381:C381"/>
    <mergeCell ref="B172:C172"/>
    <mergeCell ref="G406:H406"/>
    <mergeCell ref="I406:L406"/>
    <mergeCell ref="B192:C192"/>
    <mergeCell ref="B202:C202"/>
    <mergeCell ref="B212:C212"/>
    <mergeCell ref="B218:C218"/>
    <mergeCell ref="B236:C236"/>
    <mergeCell ref="B243:C243"/>
    <mergeCell ref="B250:C250"/>
    <mergeCell ref="B259:C259"/>
    <mergeCell ref="B266:C266"/>
    <mergeCell ref="B273:C273"/>
    <mergeCell ref="B280:C280"/>
  </mergeCells>
  <pageMargins left="0.7" right="0.7" top="0.78740157499999996" bottom="0.78740157499999996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3"/>
    <pageSetUpPr fitToPage="1"/>
  </sheetPr>
  <dimension ref="A2:L192"/>
  <sheetViews>
    <sheetView showGridLines="0" topLeftCell="A158" zoomScale="55" zoomScaleNormal="55" workbookViewId="0">
      <selection activeCell="G189" sqref="G189"/>
    </sheetView>
  </sheetViews>
  <sheetFormatPr defaultColWidth="10.75" defaultRowHeight="14.1"/>
  <cols>
    <col min="1" max="1" width="3.25" style="143" customWidth="1"/>
    <col min="2" max="2" width="59.5" style="138" bestFit="1" customWidth="1"/>
    <col min="3" max="3" width="21" style="139" bestFit="1" customWidth="1"/>
    <col min="4" max="4" width="24.75" style="140" bestFit="1" customWidth="1"/>
    <col min="5" max="5" width="18.125" style="296" customWidth="1"/>
    <col min="6" max="6" width="19.5" style="297" bestFit="1" customWidth="1"/>
    <col min="7" max="7" width="19.625" style="298" bestFit="1" customWidth="1"/>
    <col min="8" max="8" width="11.625" style="141" bestFit="1" customWidth="1"/>
    <col min="9" max="9" width="52" style="142" bestFit="1" customWidth="1"/>
    <col min="10" max="10" width="10.75" style="143" customWidth="1"/>
    <col min="11" max="16384" width="10.75" style="143"/>
  </cols>
  <sheetData>
    <row r="2" spans="2:12" s="137" customFormat="1">
      <c r="B2" s="144" t="s">
        <v>237</v>
      </c>
      <c r="C2" s="145"/>
      <c r="D2" s="146"/>
      <c r="E2" s="279"/>
      <c r="F2" s="280" t="s">
        <v>238</v>
      </c>
      <c r="G2" s="281"/>
    </row>
    <row r="3" spans="2:12" s="137" customFormat="1">
      <c r="B3" s="147" t="s">
        <v>239</v>
      </c>
      <c r="C3" s="148" t="s">
        <v>240</v>
      </c>
      <c r="D3" s="149" t="s">
        <v>241</v>
      </c>
      <c r="E3" s="282" t="s">
        <v>242</v>
      </c>
      <c r="F3" s="283" t="s">
        <v>231</v>
      </c>
      <c r="G3" s="284" t="s">
        <v>243</v>
      </c>
      <c r="H3" s="150" t="s">
        <v>244</v>
      </c>
      <c r="I3" s="151" t="s">
        <v>245</v>
      </c>
      <c r="J3" s="152"/>
      <c r="K3" s="152"/>
      <c r="L3" s="152"/>
    </row>
    <row r="4" spans="2:12">
      <c r="B4" s="299" t="s">
        <v>246</v>
      </c>
      <c r="C4" s="153"/>
      <c r="D4" s="154">
        <f>DATE(YEAR(C4),MONTH(C4),1)</f>
        <v>1</v>
      </c>
      <c r="E4" s="306">
        <v>4901.95</v>
      </c>
      <c r="F4" s="307"/>
      <c r="G4" s="308"/>
      <c r="H4" s="138"/>
      <c r="I4" s="156" t="s">
        <v>247</v>
      </c>
    </row>
    <row r="5" spans="2:12">
      <c r="B5" s="299" t="s">
        <v>128</v>
      </c>
      <c r="C5" s="153">
        <v>45737</v>
      </c>
      <c r="D5" s="154" t="s">
        <v>129</v>
      </c>
      <c r="E5" s="309">
        <v>10633.63</v>
      </c>
      <c r="F5" s="307"/>
      <c r="G5" s="306"/>
      <c r="H5" s="138"/>
      <c r="I5" s="157" t="s">
        <v>248</v>
      </c>
    </row>
    <row r="6" spans="2:12">
      <c r="B6" s="299" t="s">
        <v>131</v>
      </c>
      <c r="C6" s="153"/>
      <c r="D6" s="154"/>
      <c r="E6" s="309">
        <v>10633.63</v>
      </c>
      <c r="F6" s="307"/>
      <c r="G6" s="306"/>
      <c r="H6" s="138"/>
      <c r="I6" s="157" t="s">
        <v>248</v>
      </c>
    </row>
    <row r="7" spans="2:12">
      <c r="B7" s="299" t="s">
        <v>132</v>
      </c>
      <c r="C7" s="153">
        <v>45715</v>
      </c>
      <c r="D7" s="154" t="s">
        <v>133</v>
      </c>
      <c r="E7" s="309">
        <v>-308.8</v>
      </c>
      <c r="F7" s="307"/>
      <c r="G7" s="306"/>
      <c r="H7" s="138"/>
      <c r="I7" s="157" t="s">
        <v>248</v>
      </c>
    </row>
    <row r="8" spans="2:12">
      <c r="B8" s="299" t="s">
        <v>249</v>
      </c>
      <c r="C8" s="153">
        <v>45666</v>
      </c>
      <c r="D8" s="154">
        <v>801883717</v>
      </c>
      <c r="E8" s="309"/>
      <c r="F8" s="307">
        <v>1155</v>
      </c>
      <c r="G8" s="310"/>
      <c r="H8" s="158"/>
      <c r="I8" s="157" t="s">
        <v>250</v>
      </c>
    </row>
    <row r="9" spans="2:12">
      <c r="B9" s="299" t="s">
        <v>251</v>
      </c>
      <c r="C9" s="153">
        <v>45671</v>
      </c>
      <c r="D9" s="154" t="s">
        <v>43</v>
      </c>
      <c r="E9" s="309">
        <v>2587</v>
      </c>
      <c r="F9" s="307"/>
      <c r="G9" s="310"/>
      <c r="H9" s="158"/>
      <c r="I9" s="159" t="s">
        <v>252</v>
      </c>
    </row>
    <row r="10" spans="2:12">
      <c r="B10" s="299" t="s">
        <v>253</v>
      </c>
      <c r="C10" s="153">
        <v>45664</v>
      </c>
      <c r="D10" s="154">
        <v>400927</v>
      </c>
      <c r="E10" s="309"/>
      <c r="F10" s="307">
        <v>418.5</v>
      </c>
      <c r="G10" s="310"/>
      <c r="H10" s="158"/>
      <c r="I10" s="160" t="s">
        <v>0</v>
      </c>
    </row>
    <row r="11" spans="2:12">
      <c r="B11" s="299" t="s">
        <v>254</v>
      </c>
      <c r="C11" s="153">
        <v>45673</v>
      </c>
      <c r="D11" s="154">
        <f>DATE(YEAR(C11),MONTH(C11),1)</f>
        <v>45658</v>
      </c>
      <c r="E11" s="309">
        <v>301.95999999999998</v>
      </c>
      <c r="F11" s="307"/>
      <c r="G11" s="310"/>
      <c r="H11" s="158"/>
      <c r="I11" s="160" t="s">
        <v>255</v>
      </c>
    </row>
    <row r="12" spans="2:12">
      <c r="B12" s="299" t="s">
        <v>256</v>
      </c>
      <c r="C12" s="153">
        <v>45673</v>
      </c>
      <c r="D12" s="154" t="s">
        <v>33</v>
      </c>
      <c r="E12" s="309"/>
      <c r="F12" s="307">
        <v>218.89</v>
      </c>
      <c r="G12" s="310"/>
      <c r="H12" s="158"/>
      <c r="I12" s="161" t="s">
        <v>254</v>
      </c>
    </row>
    <row r="13" spans="2:12">
      <c r="B13" s="299" t="s">
        <v>256</v>
      </c>
      <c r="C13" s="153">
        <v>45686</v>
      </c>
      <c r="D13" s="154" t="s">
        <v>29</v>
      </c>
      <c r="E13" s="309"/>
      <c r="F13" s="307">
        <v>218.89</v>
      </c>
      <c r="G13" s="310"/>
      <c r="H13" s="158"/>
      <c r="I13" s="161" t="s">
        <v>257</v>
      </c>
    </row>
    <row r="14" spans="2:12">
      <c r="B14" s="299" t="s">
        <v>258</v>
      </c>
      <c r="C14" s="153">
        <v>45672</v>
      </c>
      <c r="D14" s="154">
        <v>54047203</v>
      </c>
      <c r="E14" s="309"/>
      <c r="F14" s="311"/>
      <c r="G14" s="307">
        <v>158.65</v>
      </c>
      <c r="H14" s="158"/>
      <c r="I14" s="157" t="s">
        <v>259</v>
      </c>
    </row>
    <row r="15" spans="2:12">
      <c r="B15" s="299" t="s">
        <v>260</v>
      </c>
      <c r="C15" s="153">
        <v>45687</v>
      </c>
      <c r="D15" s="154">
        <v>5313</v>
      </c>
      <c r="E15" s="309"/>
      <c r="F15" s="307">
        <v>1003</v>
      </c>
      <c r="G15" s="310"/>
      <c r="H15" s="158"/>
      <c r="I15" s="157" t="s">
        <v>0</v>
      </c>
    </row>
    <row r="16" spans="2:12">
      <c r="B16" s="299" t="s">
        <v>251</v>
      </c>
      <c r="C16" s="153">
        <v>45671</v>
      </c>
      <c r="D16" s="154" t="s">
        <v>43</v>
      </c>
      <c r="E16" s="309"/>
      <c r="F16" s="307"/>
      <c r="G16" s="310"/>
      <c r="H16" s="158"/>
      <c r="I16" s="157" t="s">
        <v>251</v>
      </c>
    </row>
    <row r="17" spans="2:9">
      <c r="B17" s="300" t="s">
        <v>261</v>
      </c>
      <c r="C17" s="153"/>
      <c r="D17" s="154"/>
      <c r="E17" s="309"/>
      <c r="F17" s="307"/>
      <c r="G17" s="310"/>
      <c r="H17" s="158"/>
      <c r="I17" s="157"/>
    </row>
    <row r="18" spans="2:9">
      <c r="B18" s="300" t="s">
        <v>262</v>
      </c>
      <c r="C18" s="153"/>
      <c r="D18" s="154"/>
      <c r="E18" s="309"/>
      <c r="F18" s="311"/>
      <c r="G18" s="307">
        <v>3639.4</v>
      </c>
      <c r="H18" s="158"/>
      <c r="I18" s="157"/>
    </row>
    <row r="19" spans="2:9">
      <c r="B19" s="300" t="s">
        <v>263</v>
      </c>
      <c r="C19" s="153"/>
      <c r="D19" s="154"/>
      <c r="E19" s="309"/>
      <c r="F19" s="311"/>
      <c r="G19" s="307">
        <v>100</v>
      </c>
      <c r="H19" s="158"/>
      <c r="I19" s="157"/>
    </row>
    <row r="20" spans="2:9">
      <c r="B20" s="301" t="s">
        <v>264</v>
      </c>
      <c r="C20" s="153"/>
      <c r="D20" s="154"/>
      <c r="E20" s="309"/>
      <c r="F20" s="311"/>
      <c r="G20" s="307">
        <v>2000</v>
      </c>
      <c r="H20" s="158"/>
      <c r="I20" s="157"/>
    </row>
    <row r="21" spans="2:9">
      <c r="B21" s="299" t="s">
        <v>265</v>
      </c>
      <c r="C21" s="153">
        <v>45695</v>
      </c>
      <c r="D21" s="154">
        <v>250206</v>
      </c>
      <c r="E21" s="309"/>
      <c r="F21" s="307">
        <v>1655</v>
      </c>
      <c r="G21" s="310"/>
      <c r="H21" s="158"/>
      <c r="I21" s="157" t="s">
        <v>0</v>
      </c>
    </row>
    <row r="22" spans="2:9">
      <c r="B22" s="299" t="s">
        <v>266</v>
      </c>
      <c r="C22" s="153">
        <v>45695</v>
      </c>
      <c r="D22" s="154" t="s">
        <v>15</v>
      </c>
      <c r="E22" s="309">
        <v>6526.92</v>
      </c>
      <c r="F22" s="307"/>
      <c r="G22" s="310"/>
      <c r="H22" s="158"/>
      <c r="I22" s="157" t="s">
        <v>0</v>
      </c>
    </row>
    <row r="23" spans="2:9">
      <c r="B23" s="299" t="s">
        <v>254</v>
      </c>
      <c r="C23" s="153">
        <v>45685</v>
      </c>
      <c r="D23" s="154" t="s">
        <v>31</v>
      </c>
      <c r="E23" s="309">
        <v>301.95999999999998</v>
      </c>
      <c r="F23" s="307"/>
      <c r="G23" s="310"/>
      <c r="H23" s="158"/>
      <c r="I23" s="159"/>
    </row>
    <row r="24" spans="2:9">
      <c r="B24" s="299" t="s">
        <v>260</v>
      </c>
      <c r="C24" s="153">
        <v>45695</v>
      </c>
      <c r="D24" s="154">
        <v>5337</v>
      </c>
      <c r="E24" s="309"/>
      <c r="F24" s="307">
        <v>8495</v>
      </c>
      <c r="G24" s="310"/>
      <c r="H24" s="158"/>
      <c r="I24" s="161" t="s">
        <v>267</v>
      </c>
    </row>
    <row r="25" spans="2:9">
      <c r="B25" s="299" t="s">
        <v>268</v>
      </c>
      <c r="C25" s="153">
        <v>45700</v>
      </c>
      <c r="D25" s="154" t="s">
        <v>269</v>
      </c>
      <c r="E25" s="309"/>
      <c r="F25" s="307">
        <v>4341.0600000000004</v>
      </c>
      <c r="G25" s="310"/>
      <c r="H25" s="158"/>
      <c r="I25" s="162" t="s">
        <v>267</v>
      </c>
    </row>
    <row r="26" spans="2:9">
      <c r="B26" s="299" t="s">
        <v>270</v>
      </c>
      <c r="C26" s="153">
        <v>45721</v>
      </c>
      <c r="D26" s="154" t="s">
        <v>47</v>
      </c>
      <c r="E26" s="309">
        <v>8131.4</v>
      </c>
      <c r="F26" s="307"/>
      <c r="G26" s="310"/>
      <c r="H26" s="158"/>
      <c r="I26" s="163" t="s">
        <v>271</v>
      </c>
    </row>
    <row r="27" spans="2:9">
      <c r="B27" s="300" t="s">
        <v>261</v>
      </c>
      <c r="C27" s="153"/>
      <c r="D27" s="154"/>
      <c r="E27" s="309"/>
      <c r="F27" s="307"/>
      <c r="G27" s="310"/>
      <c r="H27" s="158"/>
      <c r="I27" s="157"/>
    </row>
    <row r="28" spans="2:9">
      <c r="B28" s="300" t="s">
        <v>272</v>
      </c>
      <c r="C28" s="153"/>
      <c r="D28" s="154"/>
      <c r="E28" s="309"/>
      <c r="F28" s="307"/>
      <c r="G28" s="307">
        <v>3639.4</v>
      </c>
      <c r="H28" s="158"/>
      <c r="I28" s="157"/>
    </row>
    <row r="29" spans="2:9">
      <c r="B29" s="300" t="s">
        <v>273</v>
      </c>
      <c r="C29" s="153"/>
      <c r="D29" s="154"/>
      <c r="E29" s="309"/>
      <c r="F29" s="307"/>
      <c r="G29" s="307">
        <v>100</v>
      </c>
      <c r="H29" s="158"/>
      <c r="I29" s="157"/>
    </row>
    <row r="30" spans="2:9">
      <c r="B30" s="301"/>
      <c r="C30" s="153"/>
      <c r="D30" s="154"/>
      <c r="E30" s="309"/>
      <c r="F30" s="307"/>
      <c r="G30" s="307"/>
      <c r="H30" s="158"/>
      <c r="I30" s="157"/>
    </row>
    <row r="31" spans="2:9">
      <c r="B31" s="299" t="s">
        <v>274</v>
      </c>
      <c r="C31" s="153">
        <v>45711</v>
      </c>
      <c r="D31" s="154">
        <v>82025</v>
      </c>
      <c r="E31" s="309"/>
      <c r="F31" s="307">
        <v>2480</v>
      </c>
      <c r="G31" s="307"/>
      <c r="H31" s="158"/>
      <c r="I31" s="162" t="s">
        <v>267</v>
      </c>
    </row>
    <row r="32" spans="2:9">
      <c r="B32" s="299" t="s">
        <v>275</v>
      </c>
      <c r="C32" s="153">
        <v>45728</v>
      </c>
      <c r="D32" s="154" t="s">
        <v>36</v>
      </c>
      <c r="E32" s="309">
        <v>1342.6</v>
      </c>
      <c r="F32" s="307"/>
      <c r="G32" s="306"/>
      <c r="H32" s="158"/>
      <c r="I32" s="157"/>
    </row>
    <row r="33" spans="2:9">
      <c r="B33" s="299" t="s">
        <v>276</v>
      </c>
      <c r="C33" s="153">
        <v>45728</v>
      </c>
      <c r="D33" s="154" t="s">
        <v>40</v>
      </c>
      <c r="E33" s="309">
        <v>80.3</v>
      </c>
      <c r="F33" s="307"/>
      <c r="G33" s="306"/>
      <c r="H33" s="158"/>
      <c r="I33" s="157"/>
    </row>
    <row r="34" spans="2:9">
      <c r="B34" s="299" t="s">
        <v>277</v>
      </c>
      <c r="C34" s="153">
        <v>45728</v>
      </c>
      <c r="D34" s="154"/>
      <c r="E34" s="309"/>
      <c r="F34" s="307"/>
      <c r="G34" s="306">
        <v>-105</v>
      </c>
      <c r="H34" s="158"/>
      <c r="I34" s="157" t="s">
        <v>278</v>
      </c>
    </row>
    <row r="35" spans="2:9">
      <c r="B35" s="299" t="s">
        <v>260</v>
      </c>
      <c r="C35" s="153">
        <v>45723</v>
      </c>
      <c r="D35" s="154">
        <v>5408</v>
      </c>
      <c r="E35" s="309"/>
      <c r="F35" s="307">
        <v>1088</v>
      </c>
      <c r="G35" s="306"/>
      <c r="H35" s="158"/>
      <c r="I35" s="157" t="s">
        <v>279</v>
      </c>
    </row>
    <row r="36" spans="2:9">
      <c r="B36" s="299" t="s">
        <v>280</v>
      </c>
      <c r="C36" s="153">
        <v>45737</v>
      </c>
      <c r="D36" s="154" t="s">
        <v>281</v>
      </c>
      <c r="E36" s="309">
        <v>4150.0200000000004</v>
      </c>
      <c r="F36" s="307"/>
      <c r="G36" s="306"/>
      <c r="H36" s="158"/>
      <c r="I36" s="157"/>
    </row>
    <row r="37" spans="2:9">
      <c r="B37" s="299" t="s">
        <v>282</v>
      </c>
      <c r="C37" s="153">
        <v>45744</v>
      </c>
      <c r="D37" s="154">
        <v>250305</v>
      </c>
      <c r="E37" s="309"/>
      <c r="F37" s="307">
        <v>600</v>
      </c>
      <c r="G37" s="306"/>
      <c r="H37" s="158"/>
      <c r="I37" s="157" t="s">
        <v>283</v>
      </c>
    </row>
    <row r="38" spans="2:9">
      <c r="B38" s="299" t="s">
        <v>284</v>
      </c>
      <c r="C38" s="153">
        <v>45743</v>
      </c>
      <c r="D38" s="154">
        <v>811690</v>
      </c>
      <c r="E38" s="309"/>
      <c r="F38" s="307">
        <v>480.2</v>
      </c>
      <c r="G38" s="306"/>
      <c r="H38" s="158"/>
      <c r="I38" s="157" t="s">
        <v>285</v>
      </c>
    </row>
    <row r="39" spans="2:9">
      <c r="B39" s="299" t="s">
        <v>286</v>
      </c>
      <c r="C39" s="153">
        <v>45742</v>
      </c>
      <c r="D39" s="154">
        <v>1554855</v>
      </c>
      <c r="E39" s="309"/>
      <c r="F39" s="307">
        <v>1404.49</v>
      </c>
      <c r="G39" s="306"/>
      <c r="H39" s="158"/>
      <c r="I39" s="157" t="s">
        <v>287</v>
      </c>
    </row>
    <row r="40" spans="2:9">
      <c r="B40" s="299" t="s">
        <v>260</v>
      </c>
      <c r="C40" s="153">
        <v>45737</v>
      </c>
      <c r="D40" s="154">
        <v>5441</v>
      </c>
      <c r="E40" s="309"/>
      <c r="F40" s="307">
        <v>267</v>
      </c>
      <c r="G40" s="306"/>
      <c r="H40" s="158"/>
      <c r="I40" s="157" t="s">
        <v>288</v>
      </c>
    </row>
    <row r="41" spans="2:9">
      <c r="B41" s="299" t="s">
        <v>260</v>
      </c>
      <c r="C41" s="153">
        <v>45723</v>
      </c>
      <c r="D41" s="154">
        <v>23250</v>
      </c>
      <c r="E41" s="309"/>
      <c r="F41" s="307">
        <v>1092</v>
      </c>
      <c r="G41" s="306"/>
      <c r="H41" s="158"/>
      <c r="I41" s="157" t="s">
        <v>288</v>
      </c>
    </row>
    <row r="42" spans="2:9">
      <c r="B42" s="300" t="s">
        <v>261</v>
      </c>
      <c r="C42" s="153"/>
      <c r="D42" s="154"/>
      <c r="E42" s="309"/>
      <c r="F42" s="311"/>
      <c r="G42" s="307"/>
      <c r="H42" s="158"/>
      <c r="I42" s="157"/>
    </row>
    <row r="43" spans="2:9">
      <c r="B43" s="300" t="s">
        <v>289</v>
      </c>
      <c r="C43" s="153"/>
      <c r="D43" s="154"/>
      <c r="E43" s="309"/>
      <c r="F43" s="311"/>
      <c r="G43" s="307">
        <v>3639.4</v>
      </c>
      <c r="H43" s="158"/>
      <c r="I43" s="157"/>
    </row>
    <row r="44" spans="2:9">
      <c r="B44" s="300" t="s">
        <v>290</v>
      </c>
      <c r="C44" s="153"/>
      <c r="D44" s="154"/>
      <c r="E44" s="309"/>
      <c r="F44" s="311"/>
      <c r="G44" s="307">
        <v>100</v>
      </c>
      <c r="H44" s="158"/>
      <c r="I44" s="157"/>
    </row>
    <row r="45" spans="2:9">
      <c r="B45" s="301"/>
      <c r="C45" s="153"/>
      <c r="D45" s="154"/>
      <c r="E45" s="309"/>
      <c r="F45" s="311"/>
      <c r="G45" s="307"/>
      <c r="H45" s="158"/>
      <c r="I45" s="157"/>
    </row>
    <row r="46" spans="2:9">
      <c r="B46" s="299" t="s">
        <v>291</v>
      </c>
      <c r="C46" s="153">
        <v>45718</v>
      </c>
      <c r="D46" s="154" t="s">
        <v>292</v>
      </c>
      <c r="E46" s="306">
        <v>3200</v>
      </c>
      <c r="F46" s="306"/>
      <c r="G46" s="306"/>
      <c r="H46" s="158"/>
      <c r="I46" s="164" t="s">
        <v>293</v>
      </c>
    </row>
    <row r="47" spans="2:9">
      <c r="B47" s="299" t="s">
        <v>294</v>
      </c>
      <c r="C47" s="153">
        <v>45748</v>
      </c>
      <c r="D47" s="154">
        <v>20172346</v>
      </c>
      <c r="E47" s="309"/>
      <c r="F47" s="307">
        <v>232.5</v>
      </c>
      <c r="G47" s="306"/>
      <c r="H47" s="158"/>
      <c r="I47" s="157" t="s">
        <v>287</v>
      </c>
    </row>
    <row r="48" spans="2:9">
      <c r="B48" s="299" t="s">
        <v>78</v>
      </c>
      <c r="C48" s="153">
        <v>45744</v>
      </c>
      <c r="D48" s="154" t="s">
        <v>295</v>
      </c>
      <c r="E48" s="309">
        <v>330.2</v>
      </c>
      <c r="F48" s="307"/>
      <c r="G48" s="306"/>
      <c r="H48" s="158"/>
      <c r="I48" s="157"/>
    </row>
    <row r="49" spans="2:9">
      <c r="B49" s="299" t="s">
        <v>296</v>
      </c>
      <c r="C49" s="153">
        <v>45754</v>
      </c>
      <c r="D49" s="154" t="s">
        <v>297</v>
      </c>
      <c r="E49" s="309">
        <v>1400</v>
      </c>
      <c r="F49" s="307"/>
      <c r="G49" s="306"/>
      <c r="H49" s="158"/>
      <c r="I49" s="157"/>
    </row>
    <row r="50" spans="2:9">
      <c r="B50" s="299" t="s">
        <v>298</v>
      </c>
      <c r="C50" s="153">
        <v>45754</v>
      </c>
      <c r="D50" s="154" t="s">
        <v>299</v>
      </c>
      <c r="E50" s="309"/>
      <c r="F50" s="307"/>
      <c r="G50" s="306"/>
      <c r="H50" s="158"/>
      <c r="I50" s="165" t="s">
        <v>300</v>
      </c>
    </row>
    <row r="51" spans="2:9">
      <c r="B51" s="299" t="s">
        <v>301</v>
      </c>
      <c r="C51" s="153">
        <v>45756</v>
      </c>
      <c r="D51" s="154">
        <v>4316475</v>
      </c>
      <c r="E51" s="309"/>
      <c r="F51" s="307">
        <v>1657.02</v>
      </c>
      <c r="G51" s="306"/>
      <c r="H51" s="158"/>
      <c r="I51" s="157" t="s">
        <v>302</v>
      </c>
    </row>
    <row r="52" spans="2:9">
      <c r="B52" s="299" t="s">
        <v>303</v>
      </c>
      <c r="C52" s="153">
        <v>45756</v>
      </c>
      <c r="D52" s="154">
        <v>801888049</v>
      </c>
      <c r="E52" s="309"/>
      <c r="F52" s="307">
        <v>310</v>
      </c>
      <c r="G52" s="306"/>
      <c r="H52" s="158"/>
      <c r="I52" s="157" t="s">
        <v>0</v>
      </c>
    </row>
    <row r="53" spans="2:9">
      <c r="B53" s="299" t="s">
        <v>98</v>
      </c>
      <c r="C53" s="153">
        <v>45758</v>
      </c>
      <c r="D53" s="154" t="s">
        <v>73</v>
      </c>
      <c r="E53" s="309">
        <v>949</v>
      </c>
      <c r="F53" s="307"/>
      <c r="G53" s="306"/>
      <c r="H53" s="158"/>
      <c r="I53" s="157" t="s">
        <v>304</v>
      </c>
    </row>
    <row r="54" spans="2:9">
      <c r="B54" s="299"/>
      <c r="C54" s="153"/>
      <c r="D54" s="154"/>
      <c r="E54" s="309"/>
      <c r="F54" s="307"/>
      <c r="G54" s="306"/>
      <c r="H54" s="158"/>
      <c r="I54" s="157"/>
    </row>
    <row r="55" spans="2:9">
      <c r="B55" s="299" t="s">
        <v>305</v>
      </c>
      <c r="C55" s="153">
        <v>45769</v>
      </c>
      <c r="D55" s="154">
        <v>15716</v>
      </c>
      <c r="E55" s="309"/>
      <c r="F55" s="307">
        <v>1372.8</v>
      </c>
      <c r="G55" s="306"/>
      <c r="H55" s="158"/>
      <c r="I55" s="157" t="s">
        <v>306</v>
      </c>
    </row>
    <row r="56" spans="2:9">
      <c r="B56" s="299" t="s">
        <v>260</v>
      </c>
      <c r="C56" s="153">
        <v>45764</v>
      </c>
      <c r="D56" s="154">
        <v>1837</v>
      </c>
      <c r="E56" s="309"/>
      <c r="F56" s="307">
        <v>1538</v>
      </c>
      <c r="G56" s="306"/>
      <c r="H56" s="158"/>
      <c r="I56" s="157" t="s">
        <v>307</v>
      </c>
    </row>
    <row r="57" spans="2:9">
      <c r="B57" s="299" t="s">
        <v>308</v>
      </c>
      <c r="C57" s="153">
        <v>45770</v>
      </c>
      <c r="D57" s="154" t="s">
        <v>309</v>
      </c>
      <c r="E57" s="309">
        <v>3686.07</v>
      </c>
      <c r="F57" s="307"/>
      <c r="G57" s="306"/>
      <c r="H57" s="158"/>
      <c r="I57" s="157" t="s">
        <v>310</v>
      </c>
    </row>
    <row r="58" spans="2:9">
      <c r="B58" s="299" t="s">
        <v>311</v>
      </c>
      <c r="C58" s="153">
        <v>45713</v>
      </c>
      <c r="D58" s="154">
        <v>2550278</v>
      </c>
      <c r="E58" s="309"/>
      <c r="F58" s="307">
        <v>871.2</v>
      </c>
      <c r="G58" s="306"/>
      <c r="H58" s="158"/>
      <c r="I58" s="157" t="s">
        <v>98</v>
      </c>
    </row>
    <row r="59" spans="2:9">
      <c r="B59" s="299" t="s">
        <v>80</v>
      </c>
      <c r="C59" s="153">
        <v>45771</v>
      </c>
      <c r="D59" s="154" t="s">
        <v>54</v>
      </c>
      <c r="E59" s="309"/>
      <c r="F59" s="307">
        <v>755.9</v>
      </c>
      <c r="G59" s="307">
        <v>316.39999999999998</v>
      </c>
      <c r="H59" s="158"/>
      <c r="I59" s="157" t="s">
        <v>312</v>
      </c>
    </row>
    <row r="60" spans="2:9">
      <c r="B60" s="299" t="s">
        <v>313</v>
      </c>
      <c r="C60" s="153">
        <v>45771</v>
      </c>
      <c r="D60" s="154">
        <v>53159348277</v>
      </c>
      <c r="E60" s="309"/>
      <c r="F60" s="311"/>
      <c r="G60" s="307">
        <v>19.170000000000002</v>
      </c>
      <c r="H60" s="158"/>
      <c r="I60" s="157" t="s">
        <v>314</v>
      </c>
    </row>
    <row r="61" spans="2:9">
      <c r="B61" s="299" t="s">
        <v>82</v>
      </c>
      <c r="C61" s="153">
        <v>45775</v>
      </c>
      <c r="D61" s="154">
        <v>5281</v>
      </c>
      <c r="E61" s="309"/>
      <c r="F61" s="307">
        <v>251.18</v>
      </c>
      <c r="G61" s="306"/>
      <c r="H61" s="158"/>
      <c r="I61" s="157" t="s">
        <v>77</v>
      </c>
    </row>
    <row r="62" spans="2:9">
      <c r="B62" s="300" t="s">
        <v>261</v>
      </c>
      <c r="C62" s="153"/>
      <c r="D62" s="154"/>
      <c r="E62" s="309"/>
      <c r="F62" s="307"/>
      <c r="G62" s="306"/>
      <c r="H62" s="158"/>
      <c r="I62" s="157"/>
    </row>
    <row r="63" spans="2:9">
      <c r="B63" s="300" t="s">
        <v>315</v>
      </c>
      <c r="C63" s="153"/>
      <c r="D63" s="154"/>
      <c r="E63" s="309"/>
      <c r="F63" s="311"/>
      <c r="G63" s="307">
        <v>3639.4</v>
      </c>
      <c r="H63" s="158"/>
      <c r="I63" s="157"/>
    </row>
    <row r="64" spans="2:9">
      <c r="B64" s="300" t="s">
        <v>316</v>
      </c>
      <c r="C64" s="153"/>
      <c r="D64" s="154"/>
      <c r="E64" s="309"/>
      <c r="F64" s="311"/>
      <c r="G64" s="307">
        <v>100</v>
      </c>
      <c r="H64" s="158"/>
      <c r="I64" s="157"/>
    </row>
    <row r="65" spans="2:9">
      <c r="B65" s="301"/>
      <c r="C65" s="153"/>
      <c r="D65" s="154"/>
      <c r="E65" s="309"/>
      <c r="F65" s="311"/>
      <c r="G65" s="307"/>
      <c r="H65" s="158"/>
      <c r="I65" s="157"/>
    </row>
    <row r="66" spans="2:9">
      <c r="B66" s="299" t="s">
        <v>282</v>
      </c>
      <c r="C66" s="153">
        <v>45777</v>
      </c>
      <c r="D66" s="154">
        <v>250411</v>
      </c>
      <c r="E66" s="309"/>
      <c r="F66" s="307">
        <v>309</v>
      </c>
      <c r="G66" s="306"/>
      <c r="H66" s="158"/>
      <c r="I66" s="164" t="s">
        <v>251</v>
      </c>
    </row>
    <row r="67" spans="2:9">
      <c r="B67" s="299" t="s">
        <v>317</v>
      </c>
      <c r="C67" s="153">
        <v>45779</v>
      </c>
      <c r="D67" s="154">
        <v>1124168</v>
      </c>
      <c r="E67" s="309"/>
      <c r="F67" s="307">
        <v>535.53</v>
      </c>
      <c r="G67" s="306"/>
      <c r="H67" s="158"/>
      <c r="I67" s="157" t="s">
        <v>101</v>
      </c>
    </row>
    <row r="68" spans="2:9">
      <c r="B68" s="299" t="s">
        <v>318</v>
      </c>
      <c r="C68" s="153">
        <v>45793</v>
      </c>
      <c r="D68" s="154" t="s">
        <v>319</v>
      </c>
      <c r="E68" s="309">
        <v>4977.95</v>
      </c>
      <c r="F68" s="307"/>
      <c r="G68" s="306"/>
      <c r="H68" s="158"/>
      <c r="I68" s="157"/>
    </row>
    <row r="69" spans="2:9">
      <c r="B69" s="299" t="s">
        <v>266</v>
      </c>
      <c r="C69" s="153">
        <v>45793</v>
      </c>
      <c r="D69" s="154" t="s">
        <v>320</v>
      </c>
      <c r="E69" s="309">
        <v>4010.92</v>
      </c>
      <c r="F69" s="307"/>
      <c r="G69" s="306"/>
      <c r="H69" s="158"/>
      <c r="I69" s="157"/>
    </row>
    <row r="70" spans="2:9">
      <c r="B70" s="299" t="s">
        <v>16</v>
      </c>
      <c r="C70" s="153">
        <v>45792</v>
      </c>
      <c r="D70" s="154">
        <v>19</v>
      </c>
      <c r="E70" s="309"/>
      <c r="F70" s="312">
        <v>-250</v>
      </c>
      <c r="G70" s="306"/>
      <c r="H70" s="158"/>
      <c r="I70" s="157" t="s">
        <v>321</v>
      </c>
    </row>
    <row r="71" spans="2:9">
      <c r="B71" s="299" t="s">
        <v>282</v>
      </c>
      <c r="C71" s="153">
        <v>45792</v>
      </c>
      <c r="D71" s="154">
        <v>250509</v>
      </c>
      <c r="E71" s="309"/>
      <c r="F71" s="307">
        <v>1435</v>
      </c>
      <c r="G71" s="306"/>
      <c r="H71" s="158"/>
      <c r="I71" s="159" t="s">
        <v>322</v>
      </c>
    </row>
    <row r="72" spans="2:9">
      <c r="B72" s="299" t="s">
        <v>260</v>
      </c>
      <c r="C72" s="153">
        <v>45799</v>
      </c>
      <c r="D72" s="154">
        <v>1344</v>
      </c>
      <c r="E72" s="309"/>
      <c r="F72" s="311"/>
      <c r="G72" s="306"/>
      <c r="H72" s="155">
        <v>960</v>
      </c>
      <c r="I72" s="166" t="s">
        <v>323</v>
      </c>
    </row>
    <row r="73" spans="2:9">
      <c r="B73" s="299" t="s">
        <v>16</v>
      </c>
      <c r="C73" s="153">
        <v>45764</v>
      </c>
      <c r="D73" s="154">
        <v>1838</v>
      </c>
      <c r="E73" s="309"/>
      <c r="F73" s="307">
        <v>5676</v>
      </c>
      <c r="G73" s="306"/>
      <c r="H73" s="158"/>
      <c r="I73" s="161" t="s">
        <v>324</v>
      </c>
    </row>
    <row r="74" spans="2:9">
      <c r="B74" s="299" t="s">
        <v>16</v>
      </c>
      <c r="C74" s="153">
        <v>45799</v>
      </c>
      <c r="D74" s="154">
        <v>1864</v>
      </c>
      <c r="E74" s="309"/>
      <c r="F74" s="307">
        <v>960</v>
      </c>
      <c r="G74" s="306"/>
      <c r="H74" s="158"/>
      <c r="I74" s="167" t="s">
        <v>71</v>
      </c>
    </row>
    <row r="75" spans="2:9">
      <c r="B75" s="299" t="s">
        <v>16</v>
      </c>
      <c r="C75" s="153">
        <v>45769</v>
      </c>
      <c r="D75" s="154">
        <v>1903</v>
      </c>
      <c r="E75" s="309"/>
      <c r="F75" s="307">
        <v>200</v>
      </c>
      <c r="G75" s="306"/>
      <c r="H75" s="158"/>
      <c r="I75" s="157" t="s">
        <v>325</v>
      </c>
    </row>
    <row r="76" spans="2:9">
      <c r="B76" s="299" t="s">
        <v>326</v>
      </c>
      <c r="C76" s="153">
        <v>45817</v>
      </c>
      <c r="D76" s="154" t="s">
        <v>102</v>
      </c>
      <c r="E76" s="309">
        <v>1214.32</v>
      </c>
      <c r="F76" s="307"/>
      <c r="G76" s="306"/>
      <c r="H76" s="158"/>
      <c r="I76" s="157" t="s">
        <v>327</v>
      </c>
    </row>
    <row r="77" spans="2:9">
      <c r="B77" s="299" t="s">
        <v>328</v>
      </c>
      <c r="C77" s="153">
        <v>45817</v>
      </c>
      <c r="D77" s="154">
        <v>202501057</v>
      </c>
      <c r="E77" s="309"/>
      <c r="F77" s="307">
        <v>621</v>
      </c>
      <c r="G77" s="306"/>
      <c r="H77" s="158"/>
      <c r="I77" s="157" t="s">
        <v>329</v>
      </c>
    </row>
    <row r="78" spans="2:9">
      <c r="B78" s="300" t="s">
        <v>261</v>
      </c>
      <c r="C78" s="153"/>
      <c r="D78" s="154"/>
      <c r="E78" s="309"/>
      <c r="F78" s="311"/>
      <c r="G78" s="307"/>
      <c r="H78" s="158"/>
      <c r="I78" s="157"/>
    </row>
    <row r="79" spans="2:9">
      <c r="B79" s="300" t="s">
        <v>330</v>
      </c>
      <c r="C79" s="153"/>
      <c r="D79" s="154"/>
      <c r="E79" s="309"/>
      <c r="F79" s="311"/>
      <c r="G79" s="307">
        <v>3639.4</v>
      </c>
      <c r="H79" s="158"/>
      <c r="I79" s="157"/>
    </row>
    <row r="80" spans="2:9">
      <c r="B80" s="300" t="s">
        <v>331</v>
      </c>
      <c r="C80" s="153"/>
      <c r="D80" s="154"/>
      <c r="E80" s="309"/>
      <c r="F80" s="311"/>
      <c r="G80" s="307">
        <v>100</v>
      </c>
      <c r="H80" s="158"/>
      <c r="I80" s="157"/>
    </row>
    <row r="81" spans="2:9">
      <c r="B81" s="301" t="s">
        <v>332</v>
      </c>
      <c r="C81" s="153"/>
      <c r="D81" s="154"/>
      <c r="E81" s="309"/>
      <c r="F81" s="311"/>
      <c r="G81" s="307">
        <v>2000</v>
      </c>
      <c r="H81" s="158"/>
      <c r="I81" s="157"/>
    </row>
    <row r="82" spans="2:9">
      <c r="B82" s="299"/>
      <c r="C82" s="153"/>
      <c r="D82" s="154"/>
      <c r="E82" s="309"/>
      <c r="F82" s="307"/>
      <c r="G82" s="306"/>
      <c r="H82" s="158"/>
      <c r="I82" s="157"/>
    </row>
    <row r="83" spans="2:9">
      <c r="B83" s="300" t="s">
        <v>261</v>
      </c>
      <c r="C83" s="153"/>
      <c r="D83" s="154"/>
      <c r="E83" s="309"/>
      <c r="F83" s="311"/>
      <c r="G83" s="307"/>
      <c r="H83" s="158"/>
      <c r="I83" s="157"/>
    </row>
    <row r="84" spans="2:9">
      <c r="B84" s="300" t="s">
        <v>333</v>
      </c>
      <c r="C84" s="153"/>
      <c r="D84" s="154"/>
      <c r="E84" s="309"/>
      <c r="F84" s="311"/>
      <c r="G84" s="307">
        <v>7240.8</v>
      </c>
      <c r="H84" s="158"/>
      <c r="I84" s="157"/>
    </row>
    <row r="85" spans="2:9">
      <c r="B85" s="300" t="s">
        <v>334</v>
      </c>
      <c r="C85" s="153"/>
      <c r="D85" s="154"/>
      <c r="E85" s="309"/>
      <c r="F85" s="311"/>
      <c r="G85" s="307">
        <v>100</v>
      </c>
      <c r="H85" s="158"/>
      <c r="I85" s="157"/>
    </row>
    <row r="86" spans="2:9">
      <c r="B86" s="301"/>
      <c r="C86" s="153"/>
      <c r="D86" s="154"/>
      <c r="E86" s="309"/>
      <c r="F86" s="311"/>
      <c r="G86" s="312"/>
      <c r="H86" s="158"/>
      <c r="I86" s="157"/>
    </row>
    <row r="87" spans="2:9">
      <c r="B87" s="299" t="s">
        <v>335</v>
      </c>
      <c r="C87" s="153">
        <v>45818</v>
      </c>
      <c r="D87" s="154">
        <v>400986</v>
      </c>
      <c r="E87" s="309"/>
      <c r="F87" s="307">
        <v>802</v>
      </c>
      <c r="G87" s="306"/>
      <c r="H87" s="158"/>
      <c r="I87" s="157" t="s">
        <v>336</v>
      </c>
    </row>
    <row r="88" spans="2:9">
      <c r="B88" s="299" t="s">
        <v>84</v>
      </c>
      <c r="C88" s="153">
        <v>45824</v>
      </c>
      <c r="D88" s="154">
        <v>262025</v>
      </c>
      <c r="E88" s="309"/>
      <c r="F88" s="307">
        <v>3485</v>
      </c>
      <c r="G88" s="306"/>
      <c r="H88" s="158"/>
      <c r="I88" s="161" t="s">
        <v>324</v>
      </c>
    </row>
    <row r="89" spans="2:9">
      <c r="B89" s="299" t="s">
        <v>337</v>
      </c>
      <c r="C89" s="153">
        <v>45824</v>
      </c>
      <c r="D89" s="154" t="s">
        <v>50</v>
      </c>
      <c r="E89" s="309">
        <v>8131.4</v>
      </c>
      <c r="F89" s="307"/>
      <c r="G89" s="306"/>
      <c r="H89" s="158"/>
      <c r="I89" s="161" t="s">
        <v>324</v>
      </c>
    </row>
    <row r="90" spans="2:9" ht="14.45" thickBot="1">
      <c r="B90" s="299" t="s">
        <v>305</v>
      </c>
      <c r="C90" s="153">
        <v>45734</v>
      </c>
      <c r="D90" s="154">
        <v>50058</v>
      </c>
      <c r="E90" s="309"/>
      <c r="F90" s="307">
        <v>2526</v>
      </c>
      <c r="G90" s="306"/>
      <c r="H90" s="158"/>
      <c r="I90" s="159"/>
    </row>
    <row r="91" spans="2:9" ht="14.45" thickBot="1">
      <c r="B91" s="299" t="s">
        <v>338</v>
      </c>
      <c r="C91" s="153">
        <v>45828</v>
      </c>
      <c r="D91" s="154">
        <v>3567</v>
      </c>
      <c r="E91" s="309"/>
      <c r="F91" s="307">
        <v>2884</v>
      </c>
      <c r="G91" s="306"/>
      <c r="H91" s="158"/>
      <c r="I91" s="168" t="s">
        <v>339</v>
      </c>
    </row>
    <row r="92" spans="2:9">
      <c r="B92" s="299" t="s">
        <v>340</v>
      </c>
      <c r="C92" s="153">
        <v>45831</v>
      </c>
      <c r="D92" s="154">
        <v>2522</v>
      </c>
      <c r="E92" s="309">
        <v>4393.55</v>
      </c>
      <c r="F92" s="307"/>
      <c r="G92" s="306"/>
      <c r="H92" s="158"/>
      <c r="I92" s="157" t="s">
        <v>341</v>
      </c>
    </row>
    <row r="93" spans="2:9">
      <c r="B93" s="299" t="s">
        <v>78</v>
      </c>
      <c r="C93" s="153">
        <v>45833</v>
      </c>
      <c r="D93" s="154">
        <v>2523</v>
      </c>
      <c r="E93" s="309">
        <v>792.34</v>
      </c>
      <c r="F93" s="307"/>
      <c r="G93" s="306"/>
      <c r="H93" s="158"/>
      <c r="I93" s="157"/>
    </row>
    <row r="94" spans="2:9" ht="15.95">
      <c r="B94" s="302" t="s">
        <v>317</v>
      </c>
      <c r="C94" s="153">
        <v>45833</v>
      </c>
      <c r="D94" s="154">
        <v>4321992</v>
      </c>
      <c r="E94" s="309"/>
      <c r="F94" s="307">
        <v>396.86</v>
      </c>
      <c r="G94" s="306"/>
      <c r="H94" s="158"/>
      <c r="I94" s="204" t="s">
        <v>342</v>
      </c>
    </row>
    <row r="95" spans="2:9">
      <c r="B95" s="299" t="s">
        <v>343</v>
      </c>
      <c r="C95" s="153">
        <v>45833</v>
      </c>
      <c r="D95" s="154">
        <v>2525</v>
      </c>
      <c r="E95" s="309">
        <v>490</v>
      </c>
      <c r="F95" s="307"/>
      <c r="G95" s="306"/>
      <c r="H95" s="158"/>
      <c r="I95" s="159" t="s">
        <v>344</v>
      </c>
    </row>
    <row r="96" spans="2:9" ht="15.95">
      <c r="B96" s="299" t="s">
        <v>80</v>
      </c>
      <c r="C96" s="153">
        <v>45834</v>
      </c>
      <c r="D96" s="154" t="s">
        <v>81</v>
      </c>
      <c r="E96" s="306"/>
      <c r="F96" s="307">
        <v>636.25</v>
      </c>
      <c r="G96" s="306"/>
      <c r="H96" s="158"/>
      <c r="I96" s="84" t="s">
        <v>345</v>
      </c>
    </row>
    <row r="97" spans="1:12">
      <c r="A97" s="209"/>
      <c r="B97" s="302" t="s">
        <v>346</v>
      </c>
      <c r="C97" s="205">
        <v>45835</v>
      </c>
      <c r="D97" s="206"/>
      <c r="E97" s="313"/>
      <c r="F97" s="314"/>
      <c r="G97" s="314">
        <v>200.64</v>
      </c>
      <c r="H97" s="208"/>
      <c r="I97" s="207" t="s">
        <v>347</v>
      </c>
      <c r="J97" s="209"/>
      <c r="K97" s="209"/>
      <c r="L97" s="209"/>
    </row>
    <row r="98" spans="1:12">
      <c r="A98" s="209"/>
      <c r="B98" s="302"/>
      <c r="C98" s="205"/>
      <c r="D98" s="206"/>
      <c r="E98" s="313"/>
      <c r="F98" s="314"/>
      <c r="G98" s="313"/>
      <c r="H98" s="208"/>
      <c r="I98" s="207"/>
      <c r="J98" s="209"/>
      <c r="K98" s="209"/>
      <c r="L98" s="209"/>
    </row>
    <row r="99" spans="1:12">
      <c r="A99" s="209"/>
      <c r="B99" s="302" t="s">
        <v>338</v>
      </c>
      <c r="C99" s="205"/>
      <c r="D99" s="206"/>
      <c r="E99" s="313"/>
      <c r="F99" s="314">
        <v>1628</v>
      </c>
      <c r="G99" s="313"/>
      <c r="H99" s="208"/>
      <c r="I99" s="207" t="s">
        <v>348</v>
      </c>
      <c r="J99" s="209"/>
      <c r="K99" s="209"/>
      <c r="L99" s="209"/>
    </row>
    <row r="100" spans="1:12">
      <c r="A100" s="209"/>
      <c r="B100" s="302" t="s">
        <v>338</v>
      </c>
      <c r="C100" s="205">
        <v>45842</v>
      </c>
      <c r="D100" s="206"/>
      <c r="E100" s="313"/>
      <c r="F100" s="314">
        <v>3504</v>
      </c>
      <c r="G100" s="313"/>
      <c r="H100" s="208"/>
      <c r="I100" s="207" t="s">
        <v>349</v>
      </c>
      <c r="J100" s="209"/>
      <c r="K100" s="209"/>
      <c r="L100" s="209"/>
    </row>
    <row r="101" spans="1:12">
      <c r="B101" s="299" t="s">
        <v>350</v>
      </c>
      <c r="C101" s="153">
        <v>45845</v>
      </c>
      <c r="D101" s="154"/>
      <c r="E101" s="306">
        <v>5717.37</v>
      </c>
      <c r="F101" s="307"/>
      <c r="G101" s="306"/>
      <c r="H101" s="158"/>
      <c r="I101" s="157" t="s">
        <v>351</v>
      </c>
    </row>
    <row r="102" spans="1:12">
      <c r="B102" s="299" t="s">
        <v>86</v>
      </c>
      <c r="C102" s="153">
        <v>45846</v>
      </c>
      <c r="D102" s="154"/>
      <c r="E102" s="306">
        <v>2730.04</v>
      </c>
      <c r="F102" s="307"/>
      <c r="G102" s="306"/>
      <c r="H102" s="158"/>
      <c r="I102" s="157" t="s">
        <v>351</v>
      </c>
    </row>
    <row r="103" spans="1:12" ht="15.95">
      <c r="B103" s="299" t="s">
        <v>338</v>
      </c>
      <c r="C103" s="153">
        <v>45849</v>
      </c>
      <c r="D103" s="154"/>
      <c r="E103" s="306"/>
      <c r="F103" s="307">
        <v>680</v>
      </c>
      <c r="G103" s="306"/>
      <c r="H103" s="158"/>
      <c r="I103" s="204" t="s">
        <v>352</v>
      </c>
    </row>
    <row r="104" spans="1:12">
      <c r="B104" s="299" t="s">
        <v>329</v>
      </c>
      <c r="C104" s="153">
        <v>45852</v>
      </c>
      <c r="D104" s="154"/>
      <c r="E104" s="306">
        <v>7314.04</v>
      </c>
      <c r="F104" s="307"/>
      <c r="G104" s="306"/>
      <c r="H104" s="158"/>
      <c r="I104" s="157"/>
    </row>
    <row r="105" spans="1:12">
      <c r="B105" s="299" t="s">
        <v>326</v>
      </c>
      <c r="C105" s="153">
        <v>45852</v>
      </c>
      <c r="D105" s="154"/>
      <c r="E105" s="309">
        <v>796</v>
      </c>
      <c r="F105" s="309"/>
      <c r="G105" s="306"/>
      <c r="H105" s="158"/>
      <c r="I105" s="157"/>
    </row>
    <row r="106" spans="1:12">
      <c r="B106" s="299" t="s">
        <v>282</v>
      </c>
      <c r="C106" s="153">
        <v>45854</v>
      </c>
      <c r="D106" s="154"/>
      <c r="E106" s="309"/>
      <c r="F106" s="307">
        <v>305</v>
      </c>
      <c r="G106" s="306"/>
      <c r="H106" s="158"/>
      <c r="I106" s="159" t="s">
        <v>353</v>
      </c>
    </row>
    <row r="107" spans="1:12" ht="15.95">
      <c r="B107" s="299" t="s">
        <v>82</v>
      </c>
      <c r="C107" s="153"/>
      <c r="D107" s="154"/>
      <c r="E107" s="306"/>
      <c r="F107" s="307">
        <v>1507.08</v>
      </c>
      <c r="G107" s="306"/>
      <c r="H107" s="158"/>
      <c r="I107" s="223" t="s">
        <v>354</v>
      </c>
    </row>
    <row r="108" spans="1:12" ht="17.25" customHeight="1">
      <c r="B108" s="299" t="s">
        <v>355</v>
      </c>
      <c r="C108" s="153"/>
      <c r="D108" s="165"/>
      <c r="E108" s="315"/>
      <c r="F108" s="307">
        <v>727.8</v>
      </c>
      <c r="G108" s="306"/>
      <c r="H108" s="158"/>
      <c r="I108" s="223" t="s">
        <v>356</v>
      </c>
    </row>
    <row r="109" spans="1:12" ht="17.25" customHeight="1">
      <c r="B109" s="299" t="s">
        <v>357</v>
      </c>
      <c r="C109" s="153"/>
      <c r="D109" s="222"/>
      <c r="E109" s="316">
        <v>402.8</v>
      </c>
      <c r="F109" s="307"/>
      <c r="G109" s="306"/>
      <c r="H109" s="158"/>
      <c r="I109" s="167" t="s">
        <v>358</v>
      </c>
    </row>
    <row r="110" spans="1:12" ht="17.25" customHeight="1">
      <c r="B110" s="299" t="s">
        <v>359</v>
      </c>
      <c r="C110" s="153"/>
      <c r="D110" s="222"/>
      <c r="E110" s="316"/>
      <c r="F110" s="307">
        <v>402.8</v>
      </c>
      <c r="G110" s="306"/>
      <c r="H110" s="158"/>
      <c r="I110" s="224" t="s">
        <v>360</v>
      </c>
    </row>
    <row r="111" spans="1:12" ht="17.25" customHeight="1">
      <c r="B111" s="299" t="s">
        <v>361</v>
      </c>
      <c r="C111" s="153">
        <v>45856</v>
      </c>
      <c r="D111" s="222"/>
      <c r="E111" s="316"/>
      <c r="F111" s="307">
        <v>251.18</v>
      </c>
      <c r="G111" s="306"/>
      <c r="H111" s="158"/>
      <c r="I111" s="223" t="s">
        <v>362</v>
      </c>
    </row>
    <row r="112" spans="1:12" ht="17.25" customHeight="1">
      <c r="B112" s="299" t="s">
        <v>363</v>
      </c>
      <c r="C112" s="153">
        <v>45858</v>
      </c>
      <c r="D112" s="222"/>
      <c r="E112" s="316"/>
      <c r="F112" s="307">
        <v>645</v>
      </c>
      <c r="G112" s="306"/>
      <c r="H112" s="158"/>
      <c r="I112" s="223" t="s">
        <v>336</v>
      </c>
    </row>
    <row r="113" spans="2:9" ht="17.25" customHeight="1">
      <c r="B113" s="299" t="s">
        <v>338</v>
      </c>
      <c r="C113" s="153">
        <v>45859</v>
      </c>
      <c r="D113" s="222"/>
      <c r="E113" s="316"/>
      <c r="F113" s="307">
        <v>98</v>
      </c>
      <c r="G113" s="306"/>
      <c r="H113" s="158"/>
      <c r="I113" s="223" t="s">
        <v>362</v>
      </c>
    </row>
    <row r="114" spans="2:9" ht="17.25" customHeight="1">
      <c r="B114" s="299" t="s">
        <v>282</v>
      </c>
      <c r="C114" s="153">
        <v>45859</v>
      </c>
      <c r="D114" s="222"/>
      <c r="E114" s="316"/>
      <c r="F114" s="307">
        <v>340</v>
      </c>
      <c r="G114" s="306"/>
      <c r="H114" s="158"/>
      <c r="I114" s="226" t="s">
        <v>101</v>
      </c>
    </row>
    <row r="115" spans="2:9" ht="17.25" customHeight="1">
      <c r="B115" s="299" t="s">
        <v>364</v>
      </c>
      <c r="C115" s="153">
        <v>45873</v>
      </c>
      <c r="D115" s="222"/>
      <c r="E115" s="316">
        <v>4393.55</v>
      </c>
      <c r="F115" s="307"/>
      <c r="G115" s="306"/>
      <c r="H115" s="158"/>
      <c r="I115" s="223"/>
    </row>
    <row r="116" spans="2:9" ht="17.25" customHeight="1">
      <c r="B116" s="300" t="s">
        <v>261</v>
      </c>
      <c r="C116" s="153"/>
      <c r="D116" s="154"/>
      <c r="E116" s="309"/>
      <c r="F116" s="311"/>
      <c r="G116" s="307"/>
      <c r="H116" s="158"/>
      <c r="I116" s="223"/>
    </row>
    <row r="117" spans="2:9" ht="17.25" customHeight="1">
      <c r="B117" s="300" t="s">
        <v>365</v>
      </c>
      <c r="C117" s="153"/>
      <c r="D117" s="154"/>
      <c r="E117" s="309"/>
      <c r="F117" s="311"/>
      <c r="G117" s="307">
        <v>3627.4</v>
      </c>
      <c r="H117" s="158"/>
      <c r="I117" s="223"/>
    </row>
    <row r="118" spans="2:9" ht="17.25" customHeight="1">
      <c r="B118" s="300" t="s">
        <v>366</v>
      </c>
      <c r="C118" s="153"/>
      <c r="D118" s="154"/>
      <c r="E118" s="309"/>
      <c r="F118" s="311"/>
      <c r="G118" s="307">
        <v>100</v>
      </c>
      <c r="H118" s="158"/>
      <c r="I118" s="223"/>
    </row>
    <row r="119" spans="2:9" ht="17.25" customHeight="1">
      <c r="B119" s="301"/>
      <c r="C119" s="153"/>
      <c r="D119" s="154"/>
      <c r="E119" s="309"/>
      <c r="F119" s="311"/>
      <c r="G119" s="312"/>
      <c r="H119" s="158"/>
      <c r="I119" s="226"/>
    </row>
    <row r="120" spans="2:9" ht="17.25" customHeight="1">
      <c r="B120" s="299" t="s">
        <v>361</v>
      </c>
      <c r="C120" s="153">
        <v>45873</v>
      </c>
      <c r="D120" s="222">
        <v>896</v>
      </c>
      <c r="E120" s="316"/>
      <c r="F120" s="307">
        <v>1578</v>
      </c>
      <c r="G120" s="306"/>
      <c r="H120" s="158"/>
      <c r="I120" s="223" t="s">
        <v>120</v>
      </c>
    </row>
    <row r="121" spans="2:9" ht="17.25" customHeight="1">
      <c r="B121" s="299" t="s">
        <v>338</v>
      </c>
      <c r="C121" s="153">
        <v>45870</v>
      </c>
      <c r="D121" s="222">
        <v>7504</v>
      </c>
      <c r="E121" s="316"/>
      <c r="F121" s="307">
        <v>2339</v>
      </c>
      <c r="G121" s="306"/>
      <c r="H121" s="158"/>
      <c r="I121" s="223" t="s">
        <v>120</v>
      </c>
    </row>
    <row r="122" spans="2:9" ht="17.25" customHeight="1">
      <c r="B122" s="299" t="s">
        <v>84</v>
      </c>
      <c r="C122" s="153">
        <v>45880</v>
      </c>
      <c r="D122" s="222">
        <v>402025</v>
      </c>
      <c r="E122" s="316"/>
      <c r="F122" s="307">
        <v>1294</v>
      </c>
      <c r="G122" s="306"/>
      <c r="H122" s="158"/>
      <c r="I122" s="223" t="s">
        <v>367</v>
      </c>
    </row>
    <row r="123" spans="2:9" ht="17.25" customHeight="1">
      <c r="B123" s="299" t="s">
        <v>368</v>
      </c>
      <c r="C123" s="153">
        <v>45882</v>
      </c>
      <c r="D123" s="222">
        <v>2533</v>
      </c>
      <c r="E123" s="316">
        <v>65</v>
      </c>
      <c r="F123" s="307"/>
      <c r="G123" s="306"/>
      <c r="H123" s="158"/>
      <c r="I123" s="223" t="s">
        <v>369</v>
      </c>
    </row>
    <row r="124" spans="2:9" ht="17.25" customHeight="1">
      <c r="B124" s="299" t="s">
        <v>343</v>
      </c>
      <c r="C124" s="153">
        <v>45882</v>
      </c>
      <c r="D124" s="222">
        <v>2532</v>
      </c>
      <c r="E124" s="316">
        <v>792.34</v>
      </c>
      <c r="F124" s="307"/>
      <c r="G124" s="306"/>
      <c r="H124" s="158"/>
      <c r="I124" s="223"/>
    </row>
    <row r="125" spans="2:9" ht="17.25" customHeight="1">
      <c r="B125" s="299" t="s">
        <v>370</v>
      </c>
      <c r="C125" s="153">
        <v>45887</v>
      </c>
      <c r="D125" s="222">
        <v>2505193</v>
      </c>
      <c r="E125" s="316"/>
      <c r="F125" s="307">
        <v>1488.12</v>
      </c>
      <c r="G125" s="306"/>
      <c r="H125" s="158"/>
      <c r="I125" s="223" t="s">
        <v>371</v>
      </c>
    </row>
    <row r="126" spans="2:9" ht="17.25" customHeight="1">
      <c r="B126" s="299" t="s">
        <v>372</v>
      </c>
      <c r="C126" s="153">
        <v>45889</v>
      </c>
      <c r="D126" s="222">
        <v>2534</v>
      </c>
      <c r="E126" s="316">
        <v>249.18</v>
      </c>
      <c r="F126" s="307"/>
      <c r="G126" s="306"/>
      <c r="H126" s="158"/>
      <c r="I126" s="223" t="s">
        <v>373</v>
      </c>
    </row>
    <row r="127" spans="2:9" ht="17.25" customHeight="1">
      <c r="B127" s="299" t="s">
        <v>374</v>
      </c>
      <c r="C127" s="153">
        <v>45888</v>
      </c>
      <c r="D127" s="222">
        <v>202501445</v>
      </c>
      <c r="E127" s="316"/>
      <c r="F127" s="307">
        <v>2347.9499999999998</v>
      </c>
      <c r="G127" s="306"/>
      <c r="H127" s="158"/>
      <c r="I127" s="223" t="s">
        <v>375</v>
      </c>
    </row>
    <row r="128" spans="2:9" ht="17.25" customHeight="1">
      <c r="B128" s="299" t="s">
        <v>359</v>
      </c>
      <c r="C128" s="153">
        <v>45894</v>
      </c>
      <c r="D128" s="222">
        <v>338</v>
      </c>
      <c r="E128" s="316"/>
      <c r="F128" s="307">
        <v>201.4</v>
      </c>
      <c r="G128" s="306"/>
      <c r="H128" s="158"/>
      <c r="I128" s="223" t="s">
        <v>376</v>
      </c>
    </row>
    <row r="129" spans="2:9" ht="17.25" customHeight="1">
      <c r="B129" s="303" t="s">
        <v>261</v>
      </c>
      <c r="C129" s="153"/>
      <c r="D129" s="206"/>
      <c r="E129" s="317"/>
      <c r="F129" s="318"/>
      <c r="G129" s="314"/>
      <c r="H129" s="158"/>
      <c r="I129" s="223"/>
    </row>
    <row r="130" spans="2:9" ht="17.25" customHeight="1">
      <c r="B130" s="303" t="s">
        <v>377</v>
      </c>
      <c r="C130" s="153"/>
      <c r="D130" s="206"/>
      <c r="E130" s="317"/>
      <c r="F130" s="318"/>
      <c r="G130" s="314">
        <v>3627.4</v>
      </c>
      <c r="H130" s="158"/>
      <c r="I130" s="223"/>
    </row>
    <row r="131" spans="2:9" ht="17.25" customHeight="1">
      <c r="B131" s="303" t="s">
        <v>378</v>
      </c>
      <c r="C131" s="153"/>
      <c r="D131" s="206"/>
      <c r="E131" s="317"/>
      <c r="F131" s="318"/>
      <c r="G131" s="314">
        <v>100</v>
      </c>
      <c r="H131" s="158"/>
      <c r="I131" s="223"/>
    </row>
    <row r="132" spans="2:9" ht="17.25" customHeight="1">
      <c r="B132" s="304"/>
      <c r="C132" s="153"/>
      <c r="D132" s="206"/>
      <c r="E132" s="317"/>
      <c r="F132" s="318"/>
      <c r="G132" s="319"/>
      <c r="H132" s="158"/>
      <c r="I132" s="223"/>
    </row>
    <row r="133" spans="2:9" ht="17.25" customHeight="1">
      <c r="B133" s="299" t="s">
        <v>343</v>
      </c>
      <c r="C133" s="153">
        <v>45908</v>
      </c>
      <c r="D133" s="222">
        <v>2536</v>
      </c>
      <c r="E133" s="316">
        <v>3686.07</v>
      </c>
      <c r="F133" s="307"/>
      <c r="G133" s="306"/>
      <c r="H133" s="158"/>
      <c r="I133" s="223" t="s">
        <v>379</v>
      </c>
    </row>
    <row r="134" spans="2:9" ht="17.25" customHeight="1">
      <c r="B134" s="299" t="s">
        <v>380</v>
      </c>
      <c r="C134" s="153">
        <v>45908</v>
      </c>
      <c r="D134" s="222">
        <v>2535</v>
      </c>
      <c r="E134" s="316">
        <v>2579.1999999999998</v>
      </c>
      <c r="F134" s="307"/>
      <c r="G134" s="306"/>
      <c r="H134" s="158"/>
      <c r="I134" s="223" t="s">
        <v>381</v>
      </c>
    </row>
    <row r="135" spans="2:9" ht="17.25" customHeight="1">
      <c r="B135" s="299" t="s">
        <v>328</v>
      </c>
      <c r="C135" s="153">
        <v>45874</v>
      </c>
      <c r="D135" s="222">
        <v>202501373</v>
      </c>
      <c r="E135" s="316"/>
      <c r="F135" s="307">
        <v>1683.5</v>
      </c>
      <c r="G135" s="306"/>
      <c r="H135" s="158"/>
      <c r="I135" s="25" t="s">
        <v>382</v>
      </c>
    </row>
    <row r="136" spans="2:9" ht="17.25" customHeight="1">
      <c r="B136" s="299" t="s">
        <v>383</v>
      </c>
      <c r="C136" s="153">
        <v>45918</v>
      </c>
      <c r="D136" s="222">
        <v>2541</v>
      </c>
      <c r="E136" s="316">
        <v>624.22</v>
      </c>
      <c r="F136" s="307"/>
      <c r="G136" s="306"/>
      <c r="H136" s="158"/>
      <c r="I136" s="223"/>
    </row>
    <row r="137" spans="2:9" ht="17.25" customHeight="1">
      <c r="B137" s="299" t="s">
        <v>338</v>
      </c>
      <c r="C137" s="153">
        <v>45919</v>
      </c>
      <c r="D137" s="222">
        <v>16177</v>
      </c>
      <c r="E137" s="316"/>
      <c r="F137" s="307">
        <v>4579</v>
      </c>
      <c r="G137" s="306"/>
      <c r="H137" s="158"/>
      <c r="I137" s="204" t="s">
        <v>384</v>
      </c>
    </row>
    <row r="138" spans="2:9" ht="17.25" customHeight="1">
      <c r="B138" s="299" t="s">
        <v>385</v>
      </c>
      <c r="C138" s="153">
        <v>45927</v>
      </c>
      <c r="D138" s="222">
        <v>2546</v>
      </c>
      <c r="E138" s="316">
        <v>1402.27</v>
      </c>
      <c r="F138" s="307"/>
      <c r="G138" s="306"/>
      <c r="H138" s="158"/>
      <c r="I138" s="223"/>
    </row>
    <row r="139" spans="2:9" ht="17.25" customHeight="1">
      <c r="B139" s="299" t="s">
        <v>385</v>
      </c>
      <c r="C139" s="153">
        <v>45927</v>
      </c>
      <c r="D139" s="222">
        <v>2547</v>
      </c>
      <c r="E139" s="316">
        <v>657.5</v>
      </c>
      <c r="F139" s="307"/>
      <c r="G139" s="306"/>
      <c r="H139" s="158"/>
      <c r="I139" s="223"/>
    </row>
    <row r="140" spans="2:9" ht="17.25" customHeight="1">
      <c r="B140" s="299" t="s">
        <v>386</v>
      </c>
      <c r="C140" s="153">
        <v>45927</v>
      </c>
      <c r="D140" s="222">
        <v>2545</v>
      </c>
      <c r="E140" s="316">
        <v>5717.37</v>
      </c>
      <c r="F140" s="307"/>
      <c r="G140" s="306"/>
      <c r="H140" s="158"/>
      <c r="I140" s="223"/>
    </row>
    <row r="141" spans="2:9" ht="17.25" customHeight="1">
      <c r="B141" s="299" t="s">
        <v>282</v>
      </c>
      <c r="C141" s="153">
        <v>45930</v>
      </c>
      <c r="D141" s="222">
        <v>250905</v>
      </c>
      <c r="E141" s="316"/>
      <c r="F141" s="307">
        <v>945</v>
      </c>
      <c r="G141" s="306"/>
      <c r="H141" s="158"/>
      <c r="I141" s="223" t="s">
        <v>387</v>
      </c>
    </row>
    <row r="142" spans="2:9" ht="17.25" customHeight="1">
      <c r="B142" s="303" t="s">
        <v>261</v>
      </c>
      <c r="C142" s="153"/>
      <c r="D142" s="206"/>
      <c r="E142" s="317"/>
      <c r="F142" s="318"/>
      <c r="G142" s="314"/>
      <c r="H142" s="158"/>
      <c r="I142" s="223"/>
    </row>
    <row r="143" spans="2:9" ht="17.25" customHeight="1">
      <c r="B143" s="303" t="s">
        <v>388</v>
      </c>
      <c r="C143" s="153"/>
      <c r="D143" s="206"/>
      <c r="E143" s="317"/>
      <c r="F143" s="318"/>
      <c r="G143" s="314">
        <v>3627.4</v>
      </c>
      <c r="H143" s="158"/>
      <c r="I143" s="223"/>
    </row>
    <row r="144" spans="2:9" ht="17.25" customHeight="1">
      <c r="B144" s="303" t="s">
        <v>389</v>
      </c>
      <c r="C144" s="153"/>
      <c r="D144" s="206"/>
      <c r="E144" s="317"/>
      <c r="F144" s="318"/>
      <c r="G144" s="314">
        <v>100</v>
      </c>
      <c r="H144" s="158"/>
      <c r="I144" s="223"/>
    </row>
    <row r="145" spans="2:9" ht="17.25" customHeight="1">
      <c r="B145" s="304"/>
      <c r="C145" s="153"/>
      <c r="D145" s="206"/>
      <c r="E145" s="317"/>
      <c r="F145" s="318"/>
      <c r="G145" s="319"/>
      <c r="H145" s="158"/>
      <c r="I145" s="223"/>
    </row>
    <row r="146" spans="2:9" ht="17.25" customHeight="1">
      <c r="B146" s="299" t="s">
        <v>168</v>
      </c>
      <c r="C146" s="153">
        <v>45936</v>
      </c>
      <c r="D146" s="222">
        <v>12031777</v>
      </c>
      <c r="E146" s="316"/>
      <c r="F146" s="307">
        <v>3853.06</v>
      </c>
      <c r="G146" s="306"/>
      <c r="H146" s="158"/>
      <c r="I146" s="223" t="s">
        <v>390</v>
      </c>
    </row>
    <row r="147" spans="2:9" ht="17.25" customHeight="1">
      <c r="B147" s="299"/>
      <c r="C147" s="153"/>
      <c r="D147" s="222"/>
      <c r="E147" s="316"/>
      <c r="F147" s="320"/>
      <c r="G147" s="306"/>
      <c r="H147" s="158"/>
      <c r="I147" s="223"/>
    </row>
    <row r="148" spans="2:9" ht="17.25" customHeight="1">
      <c r="B148" s="299" t="s">
        <v>391</v>
      </c>
      <c r="C148" s="153">
        <v>45932</v>
      </c>
      <c r="D148" s="222">
        <v>2550</v>
      </c>
      <c r="E148" s="316">
        <v>15259.05</v>
      </c>
      <c r="F148" s="307"/>
      <c r="G148" s="306"/>
      <c r="H148" s="158"/>
      <c r="I148" s="223" t="s">
        <v>392</v>
      </c>
    </row>
    <row r="149" spans="2:9" ht="17.25" customHeight="1">
      <c r="B149" s="299" t="s">
        <v>338</v>
      </c>
      <c r="C149" s="153">
        <v>45940</v>
      </c>
      <c r="D149" s="222">
        <v>18779</v>
      </c>
      <c r="E149" s="316"/>
      <c r="F149" s="307">
        <v>490</v>
      </c>
      <c r="G149" s="306"/>
      <c r="H149" s="158"/>
      <c r="I149" s="25" t="s">
        <v>393</v>
      </c>
    </row>
    <row r="150" spans="2:9" ht="17.25" customHeight="1">
      <c r="B150" s="302" t="s">
        <v>338</v>
      </c>
      <c r="C150" s="153">
        <v>45940</v>
      </c>
      <c r="D150" s="222">
        <v>18906</v>
      </c>
      <c r="E150" s="316"/>
      <c r="F150" s="307">
        <v>1056</v>
      </c>
      <c r="G150" s="306"/>
      <c r="H150" s="158"/>
      <c r="I150" s="223" t="s">
        <v>394</v>
      </c>
    </row>
    <row r="151" spans="2:9" ht="17.25" customHeight="1">
      <c r="B151" s="299" t="s">
        <v>19</v>
      </c>
      <c r="C151" s="153">
        <v>45932</v>
      </c>
      <c r="D151" s="222">
        <v>560152</v>
      </c>
      <c r="E151" s="316"/>
      <c r="F151" s="307">
        <v>802</v>
      </c>
      <c r="G151" s="306"/>
      <c r="H151" s="158"/>
      <c r="I151" s="223" t="s">
        <v>329</v>
      </c>
    </row>
    <row r="152" spans="2:9" ht="17.25" customHeight="1">
      <c r="B152" s="299" t="s">
        <v>268</v>
      </c>
      <c r="C152" s="153">
        <v>45932</v>
      </c>
      <c r="D152" s="222">
        <v>1805</v>
      </c>
      <c r="E152" s="316"/>
      <c r="F152" s="307">
        <v>168.6</v>
      </c>
      <c r="G152" s="306"/>
      <c r="H152" s="158"/>
      <c r="I152" s="223" t="s">
        <v>329</v>
      </c>
    </row>
    <row r="153" spans="2:9" ht="17.25" customHeight="1">
      <c r="B153" s="299" t="s">
        <v>395</v>
      </c>
      <c r="C153" s="153">
        <v>45952</v>
      </c>
      <c r="D153" s="222">
        <v>2551</v>
      </c>
      <c r="E153" s="316">
        <v>1524.9</v>
      </c>
      <c r="F153" s="307"/>
      <c r="G153" s="306"/>
      <c r="H153" s="158"/>
      <c r="I153" s="223" t="s">
        <v>395</v>
      </c>
    </row>
    <row r="154" spans="2:9" ht="17.25" customHeight="1">
      <c r="B154" s="299" t="s">
        <v>396</v>
      </c>
      <c r="C154" s="153">
        <v>45954</v>
      </c>
      <c r="D154" s="222">
        <v>2552</v>
      </c>
      <c r="E154" s="316">
        <v>252</v>
      </c>
      <c r="F154" s="307"/>
      <c r="G154" s="306"/>
      <c r="H154" s="158"/>
      <c r="I154" s="223"/>
    </row>
    <row r="155" spans="2:9" ht="17.25" customHeight="1">
      <c r="B155" s="299" t="s">
        <v>338</v>
      </c>
      <c r="C155" s="153">
        <v>45954</v>
      </c>
      <c r="D155" s="222">
        <v>20696</v>
      </c>
      <c r="E155" s="316"/>
      <c r="F155" s="307">
        <v>788</v>
      </c>
      <c r="G155" s="306"/>
      <c r="H155" s="158"/>
      <c r="I155" s="223" t="s">
        <v>397</v>
      </c>
    </row>
    <row r="156" spans="2:9" ht="17.25" customHeight="1">
      <c r="B156" s="299" t="s">
        <v>398</v>
      </c>
      <c r="C156" s="153">
        <v>45961</v>
      </c>
      <c r="D156" s="222">
        <v>2553</v>
      </c>
      <c r="E156" s="316">
        <v>1748.7</v>
      </c>
      <c r="F156" s="307"/>
      <c r="G156" s="306"/>
      <c r="H156" s="158"/>
      <c r="I156" s="236"/>
    </row>
    <row r="157" spans="2:9" ht="17.25" customHeight="1">
      <c r="B157" s="299" t="s">
        <v>52</v>
      </c>
      <c r="C157" s="153">
        <v>45908</v>
      </c>
      <c r="D157" s="222">
        <v>2025</v>
      </c>
      <c r="E157" s="316"/>
      <c r="F157" s="307">
        <v>220.86</v>
      </c>
      <c r="G157" s="306"/>
      <c r="H157" s="158"/>
      <c r="I157" s="223" t="s">
        <v>397</v>
      </c>
    </row>
    <row r="158" spans="2:9" ht="17.25" customHeight="1">
      <c r="B158" s="299" t="s">
        <v>386</v>
      </c>
      <c r="C158" s="153">
        <v>45966</v>
      </c>
      <c r="D158" s="222">
        <v>2554</v>
      </c>
      <c r="E158" s="316">
        <v>14050.48</v>
      </c>
      <c r="F158" s="307"/>
      <c r="G158" s="306"/>
      <c r="H158" s="158"/>
      <c r="I158" s="236"/>
    </row>
    <row r="159" spans="2:9" ht="17.25" customHeight="1">
      <c r="B159" s="299" t="s">
        <v>399</v>
      </c>
      <c r="C159" s="153">
        <v>45966</v>
      </c>
      <c r="D159" s="222">
        <v>2556</v>
      </c>
      <c r="E159" s="316">
        <v>498.4</v>
      </c>
      <c r="F159" s="307"/>
      <c r="G159" s="306"/>
      <c r="H159" s="158"/>
      <c r="I159" s="236"/>
    </row>
    <row r="160" spans="2:9" ht="17.25" customHeight="1">
      <c r="B160" s="299" t="s">
        <v>338</v>
      </c>
      <c r="C160" s="153">
        <v>45957</v>
      </c>
      <c r="D160" s="222">
        <v>20820</v>
      </c>
      <c r="E160" s="316"/>
      <c r="F160" s="307">
        <v>1692</v>
      </c>
      <c r="G160" s="306"/>
      <c r="H160" s="158"/>
      <c r="I160" s="237" t="s">
        <v>329</v>
      </c>
    </row>
    <row r="161" spans="2:9" ht="17.25" customHeight="1">
      <c r="B161" s="299" t="s">
        <v>400</v>
      </c>
      <c r="C161" s="153">
        <v>45966</v>
      </c>
      <c r="D161" s="222">
        <v>2555</v>
      </c>
      <c r="E161" s="316">
        <v>4349.4799999999996</v>
      </c>
      <c r="F161" s="307"/>
      <c r="G161" s="306"/>
      <c r="H161" s="158"/>
      <c r="I161" s="236"/>
    </row>
    <row r="162" spans="2:9" ht="17.25" customHeight="1">
      <c r="B162" s="299" t="s">
        <v>338</v>
      </c>
      <c r="C162" s="153">
        <v>45961</v>
      </c>
      <c r="D162" s="222">
        <v>21561</v>
      </c>
      <c r="E162" s="316"/>
      <c r="F162" s="307">
        <v>178</v>
      </c>
      <c r="G162" s="306"/>
      <c r="H162" s="158"/>
      <c r="I162" s="236" t="s">
        <v>401</v>
      </c>
    </row>
    <row r="163" spans="2:9" ht="17.25" customHeight="1">
      <c r="B163" s="299" t="s">
        <v>402</v>
      </c>
      <c r="C163" s="153">
        <v>45968</v>
      </c>
      <c r="D163" s="222">
        <v>64</v>
      </c>
      <c r="E163" s="316"/>
      <c r="F163" s="307">
        <v>285</v>
      </c>
      <c r="G163" s="306"/>
      <c r="H163" s="158"/>
      <c r="I163" s="236" t="s">
        <v>324</v>
      </c>
    </row>
    <row r="164" spans="2:9" ht="15.75" customHeight="1">
      <c r="B164" s="299"/>
      <c r="C164" s="153"/>
      <c r="D164" s="154"/>
      <c r="E164" s="306"/>
      <c r="F164" s="311"/>
      <c r="G164" s="306"/>
      <c r="H164" s="158"/>
      <c r="I164" s="223"/>
    </row>
    <row r="165" spans="2:9" ht="15.75" customHeight="1">
      <c r="B165" s="299"/>
      <c r="C165" s="153"/>
      <c r="D165" s="154"/>
      <c r="E165" s="306"/>
      <c r="F165" s="311"/>
      <c r="G165" s="306"/>
      <c r="H165" s="158"/>
      <c r="I165" s="223"/>
    </row>
    <row r="166" spans="2:9" ht="15.75" customHeight="1">
      <c r="B166" s="299"/>
      <c r="C166" s="153"/>
      <c r="D166" s="154"/>
      <c r="E166" s="316"/>
      <c r="F166" s="311"/>
      <c r="G166" s="306"/>
      <c r="H166" s="158"/>
      <c r="I166" s="226"/>
    </row>
    <row r="167" spans="2:9" ht="15.75" customHeight="1">
      <c r="B167" s="299"/>
      <c r="C167" s="153"/>
      <c r="D167" s="154"/>
      <c r="E167" s="316"/>
      <c r="F167" s="311"/>
      <c r="G167" s="306"/>
      <c r="H167" s="158"/>
      <c r="I167" s="226"/>
    </row>
    <row r="168" spans="2:9" ht="15.75" customHeight="1">
      <c r="B168" s="299"/>
      <c r="C168" s="153"/>
      <c r="D168" s="154"/>
      <c r="E168" s="316"/>
      <c r="F168" s="311"/>
      <c r="G168" s="306"/>
      <c r="H168" s="158"/>
      <c r="I168" s="226"/>
    </row>
    <row r="169" spans="2:9" ht="15.75" customHeight="1">
      <c r="B169" s="299"/>
      <c r="C169" s="153"/>
      <c r="D169" s="154"/>
      <c r="E169" s="316"/>
      <c r="F169" s="311"/>
      <c r="G169" s="306"/>
      <c r="H169" s="158"/>
      <c r="I169" s="226"/>
    </row>
    <row r="170" spans="2:9" ht="15.75" customHeight="1">
      <c r="B170" s="299"/>
      <c r="C170" s="153"/>
      <c r="D170" s="154"/>
      <c r="E170" s="316"/>
      <c r="F170" s="311"/>
      <c r="G170" s="306"/>
      <c r="H170" s="158"/>
      <c r="I170" s="226"/>
    </row>
    <row r="171" spans="2:9" ht="15.75" customHeight="1">
      <c r="B171" s="299"/>
      <c r="C171" s="153"/>
      <c r="D171" s="154"/>
      <c r="E171" s="316"/>
      <c r="F171" s="311"/>
      <c r="G171" s="306"/>
      <c r="H171" s="158"/>
      <c r="I171" s="226"/>
    </row>
    <row r="172" spans="2:9" ht="17.25" customHeight="1">
      <c r="B172" s="299"/>
      <c r="C172" s="153"/>
      <c r="D172" s="222"/>
      <c r="E172" s="325"/>
      <c r="F172" s="311"/>
      <c r="G172" s="306"/>
      <c r="H172" s="158"/>
      <c r="I172" s="324"/>
    </row>
    <row r="173" spans="2:9" s="191" customFormat="1" ht="3.75" customHeight="1">
      <c r="B173" s="305"/>
      <c r="C173" s="188" t="s">
        <v>403</v>
      </c>
      <c r="D173" s="189"/>
      <c r="E173" s="321">
        <v>0.01</v>
      </c>
      <c r="F173" s="322"/>
      <c r="G173" s="323"/>
      <c r="H173" s="190"/>
    </row>
    <row r="174" spans="2:9">
      <c r="E174" s="285" t="s">
        <v>404</v>
      </c>
      <c r="F174" s="286" t="s">
        <v>231</v>
      </c>
      <c r="G174" s="284" t="s">
        <v>243</v>
      </c>
      <c r="I174" s="143"/>
    </row>
    <row r="175" spans="2:9">
      <c r="E175" s="287">
        <f>SUM(E4:E173)</f>
        <v>157668.29</v>
      </c>
      <c r="F175" s="288">
        <f>-SUM(F4:F172)</f>
        <v>-88200.62</v>
      </c>
      <c r="G175" s="289">
        <f>-SUM(G4:G174)</f>
        <v>-41809.86</v>
      </c>
      <c r="I175" s="143"/>
    </row>
    <row r="176" spans="2:9" s="170" customFormat="1" ht="14.45" thickBot="1">
      <c r="B176" s="169"/>
      <c r="E176" s="290"/>
      <c r="F176" s="290"/>
      <c r="G176" s="291"/>
    </row>
    <row r="177" spans="2:9" s="170" customFormat="1" ht="14.45" thickBot="1">
      <c r="B177" s="169"/>
      <c r="E177" s="174" t="s">
        <v>405</v>
      </c>
      <c r="F177" s="175"/>
      <c r="G177" s="291"/>
    </row>
    <row r="178" spans="2:9" s="170" customFormat="1">
      <c r="B178" s="169"/>
      <c r="E178" s="174" t="s">
        <v>406</v>
      </c>
      <c r="F178" s="176" t="s">
        <v>407</v>
      </c>
      <c r="G178" s="291"/>
    </row>
    <row r="179" spans="2:9" s="170" customFormat="1" ht="14.45" thickBot="1">
      <c r="B179" s="169"/>
      <c r="E179" s="177">
        <f>Projektdetails!E407</f>
        <v>249993.48</v>
      </c>
      <c r="F179" s="178">
        <f>-Projektdetails!I407</f>
        <v>-148598.15000000002</v>
      </c>
      <c r="G179" s="291"/>
    </row>
    <row r="180" spans="2:9" s="170" customFormat="1">
      <c r="B180" s="169"/>
      <c r="D180" s="196" t="s">
        <v>408</v>
      </c>
      <c r="E180" s="172">
        <f>E175-E179</f>
        <v>-92325.19</v>
      </c>
      <c r="F180" s="173">
        <f>F179-F175</f>
        <v>-60397.530000000028</v>
      </c>
      <c r="G180" s="291"/>
    </row>
    <row r="181" spans="2:9" s="170" customFormat="1">
      <c r="B181" s="169"/>
      <c r="E181" s="290"/>
      <c r="F181" s="290"/>
      <c r="G181" s="291"/>
    </row>
    <row r="182" spans="2:9" s="170" customFormat="1" ht="14.45" thickBot="1">
      <c r="B182" s="169"/>
      <c r="E182" s="290"/>
      <c r="F182" s="290"/>
      <c r="G182" s="291"/>
      <c r="I182" s="171"/>
    </row>
    <row r="183" spans="2:9" s="170" customFormat="1">
      <c r="B183" s="169"/>
      <c r="D183" s="340" t="s">
        <v>409</v>
      </c>
      <c r="E183" s="341"/>
      <c r="F183" s="292">
        <f>Projektdetails!F407</f>
        <v>60642.09</v>
      </c>
      <c r="G183" s="293"/>
      <c r="I183" s="171"/>
    </row>
    <row r="184" spans="2:9" s="170" customFormat="1" ht="14.45" thickBot="1">
      <c r="B184" s="169"/>
      <c r="D184" s="342" t="s">
        <v>410</v>
      </c>
      <c r="E184" s="343"/>
      <c r="F184" s="294">
        <f>Projektdetails!I407-Projektdetails!G407</f>
        <v>-75771.800000000017</v>
      </c>
      <c r="G184" s="293"/>
      <c r="I184" s="171"/>
    </row>
    <row r="185" spans="2:9" s="170" customFormat="1" ht="14.45" thickBot="1">
      <c r="B185" s="169"/>
      <c r="E185" s="290"/>
      <c r="F185" s="290"/>
      <c r="G185" s="291"/>
      <c r="I185" s="171"/>
    </row>
    <row r="186" spans="2:9" s="170" customFormat="1" ht="15.6" thickBot="1">
      <c r="B186" s="169"/>
      <c r="D186" s="344" t="s">
        <v>411</v>
      </c>
      <c r="E186" s="345"/>
      <c r="F186" s="295">
        <f>E175+F175+F183+F184+G175</f>
        <v>12528.099999999991</v>
      </c>
      <c r="G186" s="293"/>
      <c r="I186" s="171"/>
    </row>
    <row r="187" spans="2:9" s="170" customFormat="1">
      <c r="B187" s="169"/>
      <c r="E187" s="290"/>
      <c r="F187" s="290"/>
      <c r="G187" s="291"/>
      <c r="I187" s="171"/>
    </row>
    <row r="188" spans="2:9" s="170" customFormat="1">
      <c r="B188" s="169"/>
      <c r="E188" s="290"/>
      <c r="F188" s="290"/>
      <c r="G188" s="291"/>
      <c r="I188" s="171"/>
    </row>
    <row r="189" spans="2:9" s="170" customFormat="1">
      <c r="B189" s="169"/>
      <c r="E189" s="290"/>
      <c r="F189" s="290"/>
      <c r="G189" s="291"/>
      <c r="I189" s="171"/>
    </row>
    <row r="190" spans="2:9" s="170" customFormat="1">
      <c r="B190" s="169"/>
      <c r="E190" s="290"/>
      <c r="F190" s="290"/>
      <c r="G190" s="291"/>
      <c r="I190" s="171"/>
    </row>
    <row r="191" spans="2:9" s="170" customFormat="1">
      <c r="B191" s="169"/>
      <c r="E191" s="290"/>
      <c r="F191" s="290"/>
      <c r="G191" s="291"/>
      <c r="I191" s="171"/>
    </row>
    <row r="192" spans="2:9" s="170" customFormat="1">
      <c r="B192" s="169"/>
      <c r="E192" s="290"/>
      <c r="F192" s="290"/>
      <c r="G192" s="291"/>
      <c r="I192" s="171"/>
    </row>
  </sheetData>
  <mergeCells count="3">
    <mergeCell ref="D183:E183"/>
    <mergeCell ref="D184:E184"/>
    <mergeCell ref="D186:E186"/>
  </mergeCells>
  <pageMargins left="0.3" right="0.3" top="0.3" bottom="0.3" header="0" footer="0"/>
  <pageSetup scale="70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74210-F1C6-4B63-A65B-9AC913D80E28}">
  <dimension ref="A1:Q22"/>
  <sheetViews>
    <sheetView workbookViewId="0">
      <pane ySplit="1" topLeftCell="A12" activePane="bottomLeft" state="frozen"/>
      <selection pane="bottomLeft" activeCell="I12" sqref="I12"/>
    </sheetView>
  </sheetViews>
  <sheetFormatPr defaultColWidth="10" defaultRowHeight="15.6"/>
  <cols>
    <col min="1" max="1" width="15.125" style="21" customWidth="1"/>
    <col min="2" max="2" width="21.75" style="60" customWidth="1"/>
    <col min="3" max="3" width="20.5" style="60" customWidth="1"/>
    <col min="4" max="4" width="33.5" style="60" customWidth="1"/>
    <col min="5" max="5" width="23.375" customWidth="1"/>
    <col min="6" max="6" width="18.25" style="21" customWidth="1"/>
    <col min="7" max="7" width="14.25" style="62" customWidth="1"/>
    <col min="8" max="8" width="17.625" style="21" customWidth="1"/>
    <col min="9" max="9" width="21.875" style="21" customWidth="1"/>
    <col min="10" max="14" width="15.75" customWidth="1"/>
    <col min="15" max="15" width="21" customWidth="1"/>
    <col min="16" max="16" width="12.75" customWidth="1"/>
  </cols>
  <sheetData>
    <row r="1" spans="1:17" s="50" customFormat="1">
      <c r="A1" s="54" t="s">
        <v>412</v>
      </c>
      <c r="B1" s="55" t="s">
        <v>413</v>
      </c>
      <c r="C1" s="55" t="s">
        <v>414</v>
      </c>
      <c r="D1" s="55" t="s">
        <v>415</v>
      </c>
      <c r="E1" s="56" t="s">
        <v>416</v>
      </c>
      <c r="F1" s="57" t="s">
        <v>417</v>
      </c>
      <c r="G1" s="58" t="s">
        <v>418</v>
      </c>
      <c r="H1" s="57" t="s">
        <v>419</v>
      </c>
      <c r="I1" s="57" t="s">
        <v>420</v>
      </c>
      <c r="J1" s="59" t="s">
        <v>421</v>
      </c>
      <c r="K1" s="59" t="s">
        <v>422</v>
      </c>
      <c r="L1" s="59" t="s">
        <v>423</v>
      </c>
      <c r="M1" s="59" t="s">
        <v>424</v>
      </c>
      <c r="N1" s="59" t="s">
        <v>425</v>
      </c>
      <c r="O1" s="59" t="s">
        <v>426</v>
      </c>
      <c r="P1" s="59" t="s">
        <v>427</v>
      </c>
      <c r="Q1" s="59" t="s">
        <v>428</v>
      </c>
    </row>
    <row r="2" spans="1:17">
      <c r="A2" s="21" t="s">
        <v>429</v>
      </c>
      <c r="B2" s="21" t="s">
        <v>430</v>
      </c>
      <c r="F2" s="61" t="s">
        <v>431</v>
      </c>
      <c r="G2" s="62" t="s">
        <v>432</v>
      </c>
      <c r="H2" s="63" t="s">
        <v>433</v>
      </c>
      <c r="I2" s="21" t="s">
        <v>434</v>
      </c>
      <c r="J2" s="62" t="s">
        <v>32</v>
      </c>
      <c r="K2" s="62" t="s">
        <v>32</v>
      </c>
      <c r="L2" s="62" t="s">
        <v>32</v>
      </c>
      <c r="M2" s="62" t="s">
        <v>32</v>
      </c>
      <c r="N2" s="62" t="s">
        <v>32</v>
      </c>
      <c r="O2" s="62" t="s">
        <v>32</v>
      </c>
      <c r="P2" s="62"/>
    </row>
    <row r="3" spans="1:17" ht="67.5" customHeight="1">
      <c r="A3" s="21" t="s">
        <v>435</v>
      </c>
      <c r="B3" s="21" t="s">
        <v>436</v>
      </c>
      <c r="C3" s="64" t="s">
        <v>437</v>
      </c>
      <c r="D3" s="65" t="s">
        <v>438</v>
      </c>
      <c r="E3" s="66" t="s">
        <v>439</v>
      </c>
      <c r="F3" s="21" t="s">
        <v>440</v>
      </c>
      <c r="G3" s="62" t="s">
        <v>441</v>
      </c>
      <c r="H3" s="62" t="s">
        <v>442</v>
      </c>
      <c r="I3" s="21" t="s">
        <v>443</v>
      </c>
      <c r="J3" s="62"/>
      <c r="K3" s="62"/>
      <c r="L3" s="62" t="s">
        <v>32</v>
      </c>
      <c r="M3" s="62"/>
      <c r="N3" s="62" t="s">
        <v>32</v>
      </c>
      <c r="O3" s="62"/>
      <c r="P3" s="62"/>
    </row>
    <row r="4" spans="1:17" ht="46.5">
      <c r="A4" s="21" t="s">
        <v>56</v>
      </c>
      <c r="B4" s="21" t="s">
        <v>444</v>
      </c>
      <c r="C4" s="64" t="s">
        <v>445</v>
      </c>
      <c r="D4" s="65" t="s">
        <v>446</v>
      </c>
      <c r="E4" s="66" t="s">
        <v>447</v>
      </c>
      <c r="F4" s="61">
        <v>0.5</v>
      </c>
      <c r="G4" s="62" t="s">
        <v>441</v>
      </c>
      <c r="H4" s="62" t="s">
        <v>448</v>
      </c>
      <c r="I4" s="21" t="s">
        <v>449</v>
      </c>
      <c r="J4" s="62"/>
      <c r="K4" s="62"/>
      <c r="L4" s="62"/>
      <c r="M4" s="62"/>
      <c r="N4" s="62"/>
      <c r="O4" s="62"/>
      <c r="P4" s="62" t="s">
        <v>32</v>
      </c>
    </row>
    <row r="5" spans="1:17">
      <c r="A5" s="21" t="s">
        <v>450</v>
      </c>
      <c r="B5" s="21" t="s">
        <v>16</v>
      </c>
      <c r="C5" s="64" t="s">
        <v>451</v>
      </c>
      <c r="D5" s="65" t="s">
        <v>452</v>
      </c>
      <c r="F5" s="61">
        <v>0.5</v>
      </c>
      <c r="G5" s="62" t="s">
        <v>441</v>
      </c>
      <c r="H5" s="62" t="s">
        <v>453</v>
      </c>
      <c r="I5" s="21" t="s">
        <v>454</v>
      </c>
      <c r="J5" s="62" t="s">
        <v>32</v>
      </c>
      <c r="K5" s="62" t="s">
        <v>32</v>
      </c>
      <c r="L5" s="62" t="s">
        <v>32</v>
      </c>
      <c r="M5" s="62" t="s">
        <v>32</v>
      </c>
      <c r="N5" s="62" t="s">
        <v>32</v>
      </c>
      <c r="O5" s="62"/>
      <c r="P5" s="62" t="s">
        <v>32</v>
      </c>
    </row>
    <row r="6" spans="1:17" ht="62.1">
      <c r="A6" s="21" t="s">
        <v>455</v>
      </c>
      <c r="B6" s="21" t="s">
        <v>456</v>
      </c>
      <c r="C6" s="64" t="s">
        <v>457</v>
      </c>
      <c r="D6" s="65" t="s">
        <v>458</v>
      </c>
      <c r="E6" s="67" t="s">
        <v>459</v>
      </c>
      <c r="F6" s="68" t="s">
        <v>460</v>
      </c>
      <c r="G6" s="62" t="s">
        <v>441</v>
      </c>
      <c r="H6" s="62" t="s">
        <v>461</v>
      </c>
      <c r="I6" s="21" t="s">
        <v>462</v>
      </c>
      <c r="J6" s="62" t="s">
        <v>32</v>
      </c>
      <c r="K6" s="62"/>
      <c r="L6" s="62" t="s">
        <v>32</v>
      </c>
      <c r="M6" s="62" t="s">
        <v>32</v>
      </c>
      <c r="N6" s="62" t="s">
        <v>32</v>
      </c>
      <c r="O6" s="62"/>
      <c r="P6" s="62"/>
    </row>
    <row r="7" spans="1:17" ht="93">
      <c r="A7" s="21" t="s">
        <v>463</v>
      </c>
      <c r="B7" s="21" t="s">
        <v>100</v>
      </c>
      <c r="C7" s="64" t="s">
        <v>464</v>
      </c>
      <c r="D7" s="69" t="s">
        <v>465</v>
      </c>
      <c r="E7" s="70" t="s">
        <v>466</v>
      </c>
      <c r="F7" s="68" t="s">
        <v>467</v>
      </c>
      <c r="G7" s="62" t="s">
        <v>432</v>
      </c>
      <c r="H7" s="62" t="s">
        <v>468</v>
      </c>
      <c r="I7" s="21" t="s">
        <v>443</v>
      </c>
      <c r="J7" s="62" t="s">
        <v>32</v>
      </c>
      <c r="K7" s="62" t="s">
        <v>32</v>
      </c>
      <c r="L7" s="62" t="s">
        <v>32</v>
      </c>
      <c r="M7" s="62" t="s">
        <v>32</v>
      </c>
      <c r="N7" s="62" t="s">
        <v>32</v>
      </c>
      <c r="O7" s="62"/>
      <c r="P7" s="62" t="s">
        <v>32</v>
      </c>
    </row>
    <row r="8" spans="1:17" s="60" customFormat="1" ht="46.5">
      <c r="A8" s="21" t="s">
        <v>469</v>
      </c>
      <c r="B8" s="21" t="s">
        <v>470</v>
      </c>
      <c r="C8" s="64" t="s">
        <v>471</v>
      </c>
      <c r="D8" s="65" t="s">
        <v>472</v>
      </c>
      <c r="E8" s="71" t="s">
        <v>473</v>
      </c>
      <c r="F8" s="61">
        <v>0.5</v>
      </c>
      <c r="G8" s="62" t="s">
        <v>474</v>
      </c>
      <c r="H8" s="62" t="s">
        <v>475</v>
      </c>
      <c r="I8" s="21" t="s">
        <v>476</v>
      </c>
      <c r="J8" s="21" t="s">
        <v>32</v>
      </c>
      <c r="K8" s="21" t="s">
        <v>105</v>
      </c>
      <c r="L8" s="21" t="s">
        <v>477</v>
      </c>
      <c r="M8" s="21" t="s">
        <v>477</v>
      </c>
      <c r="N8" s="21" t="s">
        <v>477</v>
      </c>
      <c r="O8" s="21"/>
      <c r="P8" s="21" t="s">
        <v>32</v>
      </c>
    </row>
    <row r="9" spans="1:17" ht="46.5">
      <c r="A9" s="21" t="s">
        <v>478</v>
      </c>
      <c r="B9" s="72" t="s">
        <v>479</v>
      </c>
      <c r="C9" s="73" t="s">
        <v>480</v>
      </c>
      <c r="D9" s="65" t="s">
        <v>481</v>
      </c>
      <c r="E9" s="74" t="s">
        <v>482</v>
      </c>
      <c r="F9" s="21" t="s">
        <v>483</v>
      </c>
      <c r="G9" s="62" t="s">
        <v>149</v>
      </c>
      <c r="H9" s="62" t="s">
        <v>484</v>
      </c>
      <c r="I9" s="21" t="s">
        <v>485</v>
      </c>
      <c r="J9" s="75" t="s">
        <v>486</v>
      </c>
      <c r="K9" s="50"/>
      <c r="L9" s="50"/>
      <c r="M9" s="50"/>
      <c r="N9" s="50"/>
      <c r="O9" s="50"/>
    </row>
    <row r="10" spans="1:17" s="60" customFormat="1" ht="93">
      <c r="A10" s="21" t="s">
        <v>487</v>
      </c>
      <c r="B10" s="21" t="s">
        <v>488</v>
      </c>
      <c r="C10" s="76" t="s">
        <v>489</v>
      </c>
      <c r="D10" s="65" t="s">
        <v>490</v>
      </c>
      <c r="E10" s="77" t="s">
        <v>491</v>
      </c>
      <c r="F10" s="61">
        <v>0.45</v>
      </c>
      <c r="G10" s="62" t="s">
        <v>492</v>
      </c>
      <c r="H10" s="62" t="s">
        <v>493</v>
      </c>
      <c r="I10" s="21" t="s">
        <v>494</v>
      </c>
      <c r="J10" s="21" t="s">
        <v>32</v>
      </c>
      <c r="K10" s="21" t="s">
        <v>105</v>
      </c>
      <c r="L10" s="21" t="s">
        <v>32</v>
      </c>
      <c r="M10" s="21" t="s">
        <v>32</v>
      </c>
      <c r="N10" s="21" t="s">
        <v>32</v>
      </c>
      <c r="O10" s="21"/>
      <c r="P10" s="21" t="s">
        <v>477</v>
      </c>
      <c r="Q10" s="60" t="s">
        <v>32</v>
      </c>
    </row>
    <row r="11" spans="1:17" s="21" customFormat="1" ht="30.95">
      <c r="A11" s="21" t="s">
        <v>495</v>
      </c>
      <c r="B11" s="21" t="s">
        <v>496</v>
      </c>
      <c r="C11" s="64" t="s">
        <v>437</v>
      </c>
      <c r="D11" s="65" t="s">
        <v>497</v>
      </c>
      <c r="E11" s="66" t="s">
        <v>439</v>
      </c>
      <c r="F11" s="61">
        <v>0.5</v>
      </c>
      <c r="G11" s="62" t="s">
        <v>498</v>
      </c>
      <c r="H11" s="62" t="s">
        <v>493</v>
      </c>
      <c r="I11" s="21" t="s">
        <v>485</v>
      </c>
      <c r="J11" s="21" t="s">
        <v>477</v>
      </c>
      <c r="K11" s="21" t="s">
        <v>477</v>
      </c>
      <c r="L11" s="21" t="s">
        <v>32</v>
      </c>
      <c r="M11" s="21" t="s">
        <v>477</v>
      </c>
      <c r="N11" s="21" t="s">
        <v>477</v>
      </c>
      <c r="P11" s="21" t="s">
        <v>477</v>
      </c>
    </row>
    <row r="12" spans="1:17" s="60" customFormat="1" ht="46.5">
      <c r="A12" s="21" t="s">
        <v>499</v>
      </c>
      <c r="B12" s="21" t="s">
        <v>141</v>
      </c>
      <c r="C12" s="64" t="s">
        <v>500</v>
      </c>
      <c r="D12" s="65" t="s">
        <v>501</v>
      </c>
      <c r="E12" s="78" t="s">
        <v>502</v>
      </c>
      <c r="F12" s="62" t="s">
        <v>503</v>
      </c>
      <c r="G12" s="62" t="s">
        <v>498</v>
      </c>
      <c r="H12" s="62" t="s">
        <v>504</v>
      </c>
      <c r="I12" s="21" t="s">
        <v>485</v>
      </c>
      <c r="J12" s="21" t="s">
        <v>32</v>
      </c>
      <c r="K12" s="21" t="s">
        <v>105</v>
      </c>
      <c r="L12" s="21" t="s">
        <v>32</v>
      </c>
      <c r="M12" s="21" t="s">
        <v>32</v>
      </c>
      <c r="N12" s="21" t="s">
        <v>32</v>
      </c>
      <c r="O12" s="21"/>
      <c r="P12" s="21" t="s">
        <v>32</v>
      </c>
    </row>
    <row r="13" spans="1:17" ht="46.5">
      <c r="A13" s="21" t="s">
        <v>505</v>
      </c>
      <c r="B13" s="21" t="s">
        <v>506</v>
      </c>
      <c r="C13" s="64" t="s">
        <v>500</v>
      </c>
      <c r="D13" s="65" t="s">
        <v>501</v>
      </c>
      <c r="E13" s="78" t="s">
        <v>502</v>
      </c>
      <c r="F13" s="68">
        <v>0.5</v>
      </c>
      <c r="G13" s="62" t="s">
        <v>441</v>
      </c>
      <c r="H13" s="62" t="s">
        <v>504</v>
      </c>
      <c r="I13" s="21" t="s">
        <v>485</v>
      </c>
      <c r="J13" s="21" t="s">
        <v>32</v>
      </c>
      <c r="K13" s="21" t="s">
        <v>105</v>
      </c>
      <c r="L13" s="21" t="s">
        <v>32</v>
      </c>
      <c r="M13" s="21" t="s">
        <v>32</v>
      </c>
      <c r="N13" s="21" t="s">
        <v>32</v>
      </c>
      <c r="O13" s="50"/>
    </row>
    <row r="14" spans="1:17" s="21" customFormat="1" ht="46.5">
      <c r="A14" s="21" t="s">
        <v>507</v>
      </c>
      <c r="B14" s="21" t="s">
        <v>508</v>
      </c>
      <c r="C14" s="64" t="s">
        <v>509</v>
      </c>
      <c r="D14" s="65" t="s">
        <v>510</v>
      </c>
      <c r="E14" s="64" t="s">
        <v>511</v>
      </c>
      <c r="F14" s="21" t="s">
        <v>484</v>
      </c>
      <c r="G14" s="62" t="s">
        <v>474</v>
      </c>
      <c r="H14" s="62" t="s">
        <v>484</v>
      </c>
      <c r="I14" s="21" t="s">
        <v>485</v>
      </c>
      <c r="Q14" s="21" t="s">
        <v>32</v>
      </c>
    </row>
    <row r="15" spans="1:17" s="21" customFormat="1" ht="46.5">
      <c r="A15" s="21" t="s">
        <v>512</v>
      </c>
      <c r="B15" s="21" t="s">
        <v>513</v>
      </c>
      <c r="C15" s="64" t="s">
        <v>514</v>
      </c>
      <c r="D15" s="65" t="s">
        <v>515</v>
      </c>
      <c r="E15" s="64" t="s">
        <v>516</v>
      </c>
      <c r="F15" s="21" t="s">
        <v>484</v>
      </c>
      <c r="G15" s="62" t="s">
        <v>474</v>
      </c>
      <c r="H15" s="62" t="s">
        <v>484</v>
      </c>
      <c r="I15" s="21" t="s">
        <v>476</v>
      </c>
      <c r="Q15" s="21" t="s">
        <v>32</v>
      </c>
    </row>
    <row r="16" spans="1:17" s="21" customFormat="1">
      <c r="A16" s="21" t="s">
        <v>517</v>
      </c>
      <c r="B16" s="21" t="s">
        <v>518</v>
      </c>
      <c r="C16" s="21" t="s">
        <v>519</v>
      </c>
      <c r="G16" s="62"/>
      <c r="H16" s="62"/>
    </row>
    <row r="17" spans="7:8" s="21" customFormat="1">
      <c r="G17" s="62"/>
      <c r="H17" s="62"/>
    </row>
    <row r="18" spans="7:8" s="21" customFormat="1">
      <c r="G18" s="62"/>
      <c r="H18" s="62"/>
    </row>
    <row r="19" spans="7:8" s="21" customFormat="1">
      <c r="G19" s="62"/>
      <c r="H19" s="62"/>
    </row>
    <row r="20" spans="7:8" s="21" customFormat="1">
      <c r="G20" s="62"/>
      <c r="H20" s="62"/>
    </row>
    <row r="21" spans="7:8">
      <c r="H21" s="62"/>
    </row>
    <row r="22" spans="7:8">
      <c r="H22" s="62"/>
    </row>
  </sheetData>
  <hyperlinks>
    <hyperlink ref="D3" r:id="rId1" xr:uid="{241E7DF6-AEB9-49F5-8043-C63C5AAB14D7}"/>
    <hyperlink ref="D5" r:id="rId2" xr:uid="{02C0C478-F036-4A7E-83C4-47D89411D6C2}"/>
    <hyperlink ref="D4" r:id="rId3" xr:uid="{29AE467C-9B85-43E5-99E2-FB4DFCEE3C2D}"/>
    <hyperlink ref="D6" r:id="rId4" xr:uid="{FAF98553-DE39-482E-9DB9-F21B3246A65D}"/>
    <hyperlink ref="D7" r:id="rId5" xr:uid="{4DE53C66-54C3-43CC-A50D-7484A75147AD}"/>
    <hyperlink ref="D8" r:id="rId6" xr:uid="{F4327311-A7CE-48AD-AF20-1BBC96B1216B}"/>
    <hyperlink ref="D9" r:id="rId7" xr:uid="{CEEB34AE-B2CC-442F-9302-C1B385D01444}"/>
    <hyperlink ref="D10" r:id="rId8" xr:uid="{A0839D00-A8F5-4BF0-8EE8-F171306F14DA}"/>
    <hyperlink ref="D11" r:id="rId9" xr:uid="{BE66388E-7205-4F1B-9017-250D5824D578}"/>
    <hyperlink ref="D12" r:id="rId10" xr:uid="{82EAE065-740D-42D4-8076-A69318F0BCAD}"/>
    <hyperlink ref="D13" r:id="rId11" xr:uid="{52EF2365-C764-49A2-BEA8-7C82F509A541}"/>
    <hyperlink ref="D14" r:id="rId12" xr:uid="{5063C994-097C-47E8-8278-1FC64E12DF3A}"/>
    <hyperlink ref="D15" r:id="rId13" xr:uid="{EC00EFA2-31B1-47EC-8041-1E9BE526A0F7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831575-5B37-4A66-A9C1-A00E2C3F49B9}">
  <dimension ref="A1:L8"/>
  <sheetViews>
    <sheetView tabSelected="1" workbookViewId="0">
      <selection activeCell="H14" sqref="H14"/>
    </sheetView>
  </sheetViews>
  <sheetFormatPr defaultColWidth="9" defaultRowHeight="14.45"/>
  <cols>
    <col min="1" max="1" width="39" style="20" customWidth="1"/>
    <col min="2" max="3" width="19" style="20" customWidth="1"/>
    <col min="4" max="4" width="29.875" style="52" customWidth="1"/>
    <col min="5" max="5" width="25.5" style="20" customWidth="1"/>
    <col min="6" max="6" width="16.5" style="20" customWidth="1"/>
    <col min="7" max="7" width="38" style="20" customWidth="1"/>
    <col min="8" max="8" width="25.75" style="20" customWidth="1"/>
    <col min="9" max="10" width="13.625" style="20" customWidth="1"/>
    <col min="11" max="11" width="14.375" style="20" customWidth="1"/>
    <col min="12" max="12" width="29.5" style="20" customWidth="1"/>
    <col min="13" max="16384" width="9" style="20"/>
  </cols>
  <sheetData>
    <row r="1" spans="1:12">
      <c r="A1" s="29" t="s">
        <v>520</v>
      </c>
      <c r="B1" s="29"/>
      <c r="C1" s="29"/>
      <c r="D1" s="49"/>
      <c r="E1" s="29"/>
      <c r="F1" s="30"/>
      <c r="G1" s="31"/>
      <c r="H1" s="31"/>
      <c r="I1" s="31"/>
      <c r="J1" s="31"/>
      <c r="K1" s="31"/>
      <c r="L1" s="31"/>
    </row>
    <row r="2" spans="1:12" s="28" customFormat="1">
      <c r="A2" s="32" t="s">
        <v>521</v>
      </c>
      <c r="B2" s="32" t="s">
        <v>414</v>
      </c>
      <c r="C2" s="32" t="s">
        <v>416</v>
      </c>
      <c r="D2" s="32" t="s">
        <v>415</v>
      </c>
      <c r="E2" s="33" t="s">
        <v>522</v>
      </c>
      <c r="F2" s="34" t="s">
        <v>523</v>
      </c>
      <c r="G2" s="33" t="s">
        <v>524</v>
      </c>
      <c r="H2" s="33" t="s">
        <v>525</v>
      </c>
      <c r="I2" s="33" t="s">
        <v>526</v>
      </c>
      <c r="J2" s="33" t="s">
        <v>527</v>
      </c>
      <c r="K2" s="33" t="s">
        <v>528</v>
      </c>
      <c r="L2" s="35" t="s">
        <v>529</v>
      </c>
    </row>
    <row r="3" spans="1:12" ht="15.6">
      <c r="A3" s="36" t="s">
        <v>530</v>
      </c>
      <c r="B3" s="36" t="s">
        <v>531</v>
      </c>
      <c r="C3" s="36" t="s">
        <v>532</v>
      </c>
      <c r="D3" s="50" t="s">
        <v>533</v>
      </c>
      <c r="E3" s="37" t="s">
        <v>534</v>
      </c>
      <c r="F3" s="38">
        <v>2485</v>
      </c>
      <c r="G3" s="37" t="s">
        <v>535</v>
      </c>
      <c r="H3" s="39" t="s">
        <v>536</v>
      </c>
      <c r="I3" s="40" t="s">
        <v>32</v>
      </c>
      <c r="J3" s="40" t="s">
        <v>32</v>
      </c>
      <c r="K3" s="37" t="s">
        <v>32</v>
      </c>
      <c r="L3" s="41" t="s">
        <v>537</v>
      </c>
    </row>
    <row r="4" spans="1:12" ht="14.25" customHeight="1">
      <c r="A4" s="36" t="s">
        <v>538</v>
      </c>
      <c r="B4" s="36" t="s">
        <v>177</v>
      </c>
      <c r="C4" s="36" t="s">
        <v>539</v>
      </c>
      <c r="D4" s="50" t="s">
        <v>540</v>
      </c>
      <c r="E4" s="42" t="s">
        <v>541</v>
      </c>
      <c r="F4" s="38">
        <v>8403</v>
      </c>
      <c r="G4" s="42" t="s">
        <v>542</v>
      </c>
      <c r="H4" s="39" t="s">
        <v>543</v>
      </c>
      <c r="I4" s="40" t="s">
        <v>32</v>
      </c>
      <c r="J4" s="40" t="s">
        <v>32</v>
      </c>
      <c r="K4" s="37" t="s">
        <v>32</v>
      </c>
      <c r="L4" s="41" t="s">
        <v>537</v>
      </c>
    </row>
    <row r="5" spans="1:12">
      <c r="A5" s="36" t="s">
        <v>544</v>
      </c>
      <c r="B5" s="43" t="s">
        <v>545</v>
      </c>
      <c r="C5" s="36" t="s">
        <v>546</v>
      </c>
      <c r="D5" s="44" t="s">
        <v>547</v>
      </c>
      <c r="E5" s="45" t="s">
        <v>548</v>
      </c>
      <c r="F5" s="38">
        <v>1210</v>
      </c>
      <c r="G5" s="39" t="s">
        <v>549</v>
      </c>
      <c r="H5" s="39" t="s">
        <v>550</v>
      </c>
      <c r="I5" s="39" t="s">
        <v>32</v>
      </c>
      <c r="J5" s="39" t="s">
        <v>32</v>
      </c>
      <c r="K5" s="39" t="s">
        <v>477</v>
      </c>
      <c r="L5" s="38"/>
    </row>
    <row r="6" spans="1:12" ht="15.6">
      <c r="A6" s="36" t="s">
        <v>551</v>
      </c>
      <c r="B6" s="36" t="s">
        <v>552</v>
      </c>
      <c r="C6" s="36" t="s">
        <v>553</v>
      </c>
      <c r="D6" s="50" t="s">
        <v>554</v>
      </c>
      <c r="E6" s="46" t="s">
        <v>555</v>
      </c>
      <c r="F6" s="38">
        <v>6152</v>
      </c>
      <c r="G6" s="39" t="s">
        <v>556</v>
      </c>
      <c r="H6" s="39" t="s">
        <v>557</v>
      </c>
      <c r="I6" s="39" t="s">
        <v>32</v>
      </c>
      <c r="J6" s="39" t="s">
        <v>477</v>
      </c>
      <c r="K6" s="39" t="s">
        <v>477</v>
      </c>
      <c r="L6" s="38"/>
    </row>
    <row r="7" spans="1:12" ht="15.6">
      <c r="A7" s="47" t="s">
        <v>558</v>
      </c>
      <c r="B7" s="36" t="s">
        <v>519</v>
      </c>
      <c r="C7" s="36" t="s">
        <v>559</v>
      </c>
      <c r="D7" s="50" t="s">
        <v>560</v>
      </c>
      <c r="E7" s="46" t="s">
        <v>561</v>
      </c>
      <c r="F7" s="38">
        <v>6060</v>
      </c>
      <c r="G7" s="39" t="s">
        <v>562</v>
      </c>
      <c r="H7" s="39" t="s">
        <v>557</v>
      </c>
      <c r="I7" s="39" t="s">
        <v>477</v>
      </c>
      <c r="J7" s="39" t="s">
        <v>32</v>
      </c>
      <c r="K7" s="39" t="s">
        <v>32</v>
      </c>
      <c r="L7" s="48"/>
    </row>
    <row r="8" spans="1:12" s="52" customFormat="1" ht="15.6">
      <c r="A8" s="51" t="s">
        <v>563</v>
      </c>
      <c r="B8" s="51" t="s">
        <v>564</v>
      </c>
      <c r="C8" s="51"/>
      <c r="D8" s="53" t="s">
        <v>565</v>
      </c>
      <c r="E8" s="51" t="s">
        <v>566</v>
      </c>
      <c r="F8" s="51">
        <v>1230</v>
      </c>
      <c r="G8" s="51" t="s">
        <v>549</v>
      </c>
      <c r="H8" s="51" t="s">
        <v>567</v>
      </c>
      <c r="I8" s="51" t="s">
        <v>477</v>
      </c>
      <c r="J8" s="51" t="s">
        <v>477</v>
      </c>
      <c r="K8" s="51" t="s">
        <v>32</v>
      </c>
      <c r="L8" s="51" t="s">
        <v>568</v>
      </c>
    </row>
  </sheetData>
  <hyperlinks>
    <hyperlink ref="D8" r:id="rId1" xr:uid="{FB6FDEBE-7BD1-47D9-B753-F40B8FC3EF8D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8dfc58-3c9f-46c7-a345-0c400fe43859" xsi:nil="true"/>
    <lcf76f155ced4ddcb4097134ff3c332f xmlns="a82f8074-9551-4c2b-a4d1-40b8f5cc85c8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09220E1038751545999F8E905B905310" ma:contentTypeVersion="14" ma:contentTypeDescription="Ein neues Dokument erstellen." ma:contentTypeScope="" ma:versionID="727809fbc68022c6ec4fef476e095c91">
  <xsd:schema xmlns:xsd="http://www.w3.org/2001/XMLSchema" xmlns:xs="http://www.w3.org/2001/XMLSchema" xmlns:p="http://schemas.microsoft.com/office/2006/metadata/properties" xmlns:ns2="a82f8074-9551-4c2b-a4d1-40b8f5cc85c8" xmlns:ns3="d38dfc58-3c9f-46c7-a345-0c400fe43859" targetNamespace="http://schemas.microsoft.com/office/2006/metadata/properties" ma:root="true" ma:fieldsID="0789c8d9ef2588824605b8a7aebb974c" ns2:_="" ns3:_="">
    <xsd:import namespace="a82f8074-9551-4c2b-a4d1-40b8f5cc85c8"/>
    <xsd:import namespace="d38dfc58-3c9f-46c7-a345-0c400fe4385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2f8074-9551-4c2b-a4d1-40b8f5cc85c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6" nillable="true" ma:taxonomy="true" ma:internalName="lcf76f155ced4ddcb4097134ff3c332f" ma:taxonomyFieldName="MediaServiceImageTags" ma:displayName="Bildmarkierungen" ma:readOnly="false" ma:fieldId="{5cf76f15-5ced-4ddc-b409-7134ff3c332f}" ma:taxonomyMulti="true" ma:sspId="61a77255-cce9-41d8-96e8-3c9ffbf14df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8dfc58-3c9f-46c7-a345-0c400fe43859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333a739-a616-449e-8942-f95bc7f308ec}" ma:internalName="TaxCatchAll" ma:showField="CatchAllData" ma:web="d38dfc58-3c9f-46c7-a345-0c400fe4385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84FA675-ABC2-4CAC-B7DA-73E28541BC6E}"/>
</file>

<file path=customXml/itemProps2.xml><?xml version="1.0" encoding="utf-8"?>
<ds:datastoreItem xmlns:ds="http://schemas.openxmlformats.org/officeDocument/2006/customXml" ds:itemID="{1B2F15D3-5B6A-4AD7-93D3-65E2A07B78AF}"/>
</file>

<file path=customXml/itemProps3.xml><?xml version="1.0" encoding="utf-8"?>
<ds:datastoreItem xmlns:ds="http://schemas.openxmlformats.org/officeDocument/2006/customXml" ds:itemID="{8ADCAA2E-AF65-4A03-B8D2-DBC728843AC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ragaz</dc:creator>
  <cp:keywords/>
  <dc:description/>
  <cp:lastModifiedBy/>
  <cp:revision/>
  <dcterms:created xsi:type="dcterms:W3CDTF">2016-02-25T02:48:22Z</dcterms:created>
  <dcterms:modified xsi:type="dcterms:W3CDTF">2026-03-25T14:03:55Z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0x01010009220E1038751545999F8E905B905310</vt:lpwstr>
  </property>
  <property fmtid="{D5CDD505-2E9C-101B-9397-08002B2CF9AE}" pid="3" name="MediaServiceImageTags">
    <vt:lpwstr/>
  </property>
</Properties>
</file>